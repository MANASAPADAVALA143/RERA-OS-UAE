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DASHBOARD" sheetId="1" r:id="rId1"/>
    <sheet name="ASSUMPTIONS" sheetId="2" r:id="rId2"/>
    <sheet name="PERMITS" sheetId="3" r:id="rId3"/>
    <sheet name="SOV_CONSTRUCTION" sheetId="4" r:id="rId4"/>
    <sheet name="SALES_REVENUE" sheetId="5" r:id="rId5"/>
    <sheet name="CASH_FLOW" sheetId="6" r:id="rId6"/>
    <sheet name="CEO_CFO_REPORT" sheetId="7" r:id="rId7"/>
  </sheets>
  <calcPr calcId="124519" fullCalcOnLoad="1"/>
</workbook>
</file>

<file path=xl/sharedStrings.xml><?xml version="1.0" encoding="utf-8"?>
<sst xmlns="http://schemas.openxmlformats.org/spreadsheetml/2006/main" count="282" uniqueCount="215">
  <si>
    <t>VILLA CONSTRUCTION PROJECT - ASSUMPTIONS</t>
  </si>
  <si>
    <t>Hyderabad, Telangana  |  50 Villas x 3 Floors  |  Apr 2026 - Sep 2028</t>
  </si>
  <si>
    <t>Yellow = Input  |  Blue = Calculated</t>
  </si>
  <si>
    <t>PROJECT PARAMETERS</t>
  </si>
  <si>
    <t>Number of Villas</t>
  </si>
  <si>
    <t>Floors per Villa</t>
  </si>
  <si>
    <t>Built-up Area per Villa (sq.ft)</t>
  </si>
  <si>
    <t>Total Built-up Area (sq.ft)</t>
  </si>
  <si>
    <t>Project Start Date</t>
  </si>
  <si>
    <t>Project End Date</t>
  </si>
  <si>
    <t>Project Duration (months)</t>
  </si>
  <si>
    <t>LAND &amp; SITE</t>
  </si>
  <si>
    <t>Land Acquisition Cost (INR)</t>
  </si>
  <si>
    <t>CONSTRUCTION COSTS</t>
  </si>
  <si>
    <t>Construction Cost per sq.ft (INR)</t>
  </si>
  <si>
    <t>Total Construction Cost (INR)</t>
  </si>
  <si>
    <t>Contingency (% of Construction)</t>
  </si>
  <si>
    <t>Contingency Amount (INR)</t>
  </si>
  <si>
    <t>PERMITS &amp; APPROVALS</t>
  </si>
  <si>
    <t>Permits as % of Total Project Cost</t>
  </si>
  <si>
    <t>Permit Cost (INR) - see PERMITS tab</t>
  </si>
  <si>
    <t>SALES &amp; PRICING</t>
  </si>
  <si>
    <t>Sale Price - Low (INR/villa)</t>
  </si>
  <si>
    <t>Sale Price - High (INR/villa)</t>
  </si>
  <si>
    <t>Average Sale Price (INR/villa)</t>
  </si>
  <si>
    <t>UNIT MIX</t>
  </si>
  <si>
    <t>Villa Type</t>
  </si>
  <si>
    <t>Units</t>
  </si>
  <si>
    <t>Price (INR)</t>
  </si>
  <si>
    <t>Revenue (INR)</t>
  </si>
  <si>
    <t>3BHK Standard</t>
  </si>
  <si>
    <t>3BHK Premium</t>
  </si>
  <si>
    <t>4BHK Luxury</t>
  </si>
  <si>
    <t>Total</t>
  </si>
  <si>
    <t>Total Revenue (INR)</t>
  </si>
  <si>
    <t>From unit mix</t>
  </si>
  <si>
    <t>PAYMENT COLLECTION SCHEDULE</t>
  </si>
  <si>
    <t>Milestone</t>
  </si>
  <si>
    <t>% of Price</t>
  </si>
  <si>
    <t>Timing (Month)</t>
  </si>
  <si>
    <t>Booking / Token</t>
  </si>
  <si>
    <t>Agreement</t>
  </si>
  <si>
    <t>Foundation</t>
  </si>
  <si>
    <t>Slab 1</t>
  </si>
  <si>
    <t>Slab 2</t>
  </si>
  <si>
    <t>Finishing</t>
  </si>
  <si>
    <t>Possession</t>
  </si>
  <si>
    <t>FINANCING</t>
  </si>
  <si>
    <t>Debt as % of Total Cost</t>
  </si>
  <si>
    <t>Interest Rate (p.a.)</t>
  </si>
  <si>
    <t>Loan Tenor (years)</t>
  </si>
  <si>
    <t>Moratorium / Grace (months)</t>
  </si>
  <si>
    <t>OPERATING</t>
  </si>
  <si>
    <t>SG&amp;A as % of Revenue</t>
  </si>
  <si>
    <t>Corporate Tax Rate</t>
  </si>
  <si>
    <t>Discount Rate (for NPV)</t>
  </si>
  <si>
    <t>TARGET METRICS</t>
  </si>
  <si>
    <t>Target ROI</t>
  </si>
  <si>
    <t>Target IRR</t>
  </si>
  <si>
    <t>Target MOIC</t>
  </si>
  <si>
    <t>COST SUMMARY (Calculated)</t>
  </si>
  <si>
    <t>Total Project Cost (INR)</t>
  </si>
  <si>
    <t>Total Debt (INR)</t>
  </si>
  <si>
    <t>Equity Contribution (INR)</t>
  </si>
  <si>
    <t>Net Profit after Tax (INR)</t>
  </si>
  <si>
    <t>PERMITS &amp; APPROVALS TRACKER - Hyderabad / Telangana</t>
  </si>
  <si>
    <t>Permit / Approval</t>
  </si>
  <si>
    <t>Budget (INR)</t>
  </si>
  <si>
    <t>Actual (INR)</t>
  </si>
  <si>
    <t>Variance (INR)</t>
  </si>
  <si>
    <t>Status</t>
  </si>
  <si>
    <t>Applied Date</t>
  </si>
  <si>
    <t>Approved Date</t>
  </si>
  <si>
    <t>GHMC Building Permission</t>
  </si>
  <si>
    <t>Pending</t>
  </si>
  <si>
    <t>RERA Registration</t>
  </si>
  <si>
    <t>Fire NOC</t>
  </si>
  <si>
    <t>Electricity (TSSPDCL) - LT Connection</t>
  </si>
  <si>
    <t>Electricity - HT Line Extension</t>
  </si>
  <si>
    <t>Electricity - Transformer Sub-station</t>
  </si>
  <si>
    <t>Water (HMWSSB) Connection</t>
  </si>
  <si>
    <t>Environmental Clearance</t>
  </si>
  <si>
    <t>Airport Authority NOC (if applicable)</t>
  </si>
  <si>
    <t>N/A</t>
  </si>
  <si>
    <t>Labour License / BOCW</t>
  </si>
  <si>
    <t>TOTAL PERMIT COST</t>
  </si>
  <si>
    <t>SCHEDULE OF VALUES - CONSTRUCTION (Trade-wise Budget)</t>
  </si>
  <si>
    <t>Trade / Work Package</t>
  </si>
  <si>
    <t>% of Const.</t>
  </si>
  <si>
    <t>Planned Start</t>
  </si>
  <si>
    <t>Planned End</t>
  </si>
  <si>
    <t>Site Development &amp; Earthwork</t>
  </si>
  <si>
    <t>Planned</t>
  </si>
  <si>
    <t>RCC Structure (Foundation to Slab)</t>
  </si>
  <si>
    <t>Masonry &amp; Plastering</t>
  </si>
  <si>
    <t>Electrical (Internal + External)</t>
  </si>
  <si>
    <t>Plumbing &amp; Sanitary</t>
  </si>
  <si>
    <t>Flooring &amp; Tiling</t>
  </si>
  <si>
    <t>Doors, Windows &amp; Aluminium</t>
  </si>
  <si>
    <t>Painting (Internal + External)</t>
  </si>
  <si>
    <t>HVAC / VRF (if applicable)</t>
  </si>
  <si>
    <t>Landscaping &amp; External Works</t>
  </si>
  <si>
    <t>Elevator / Lift (if applicable)</t>
  </si>
  <si>
    <t>Miscellaneous &amp; Finishing</t>
  </si>
  <si>
    <t>TOTAL SOV</t>
  </si>
  <si>
    <t>SALES &amp; REVENUE - Unit Mix &amp; Payment Collection</t>
  </si>
  <si>
    <t>Sold</t>
  </si>
  <si>
    <t>Unsold</t>
  </si>
  <si>
    <t>% Sold</t>
  </si>
  <si>
    <t>TOTAL</t>
  </si>
  <si>
    <t>PAYMENT COLLECTION BY QUARTER</t>
  </si>
  <si>
    <t>Quarter</t>
  </si>
  <si>
    <t>Period</t>
  </si>
  <si>
    <t>Booking</t>
  </si>
  <si>
    <t>Construction-Linked</t>
  </si>
  <si>
    <t>Total Collections</t>
  </si>
  <si>
    <t>Cumulative</t>
  </si>
  <si>
    <t>Q1 FY27</t>
  </si>
  <si>
    <t>Apr-Jun 2026</t>
  </si>
  <si>
    <t>Q2 FY27</t>
  </si>
  <si>
    <t>Jul-Sep 2026</t>
  </si>
  <si>
    <t>Q3 FY27</t>
  </si>
  <si>
    <t>Oct-Dec 2026</t>
  </si>
  <si>
    <t>Q4 FY27</t>
  </si>
  <si>
    <t>Jan-Mar 2027</t>
  </si>
  <si>
    <t>Q1 FY28</t>
  </si>
  <si>
    <t>Apr-Jun 2027</t>
  </si>
  <si>
    <t>Q2 FY28</t>
  </si>
  <si>
    <t>Jul-Sep 2027</t>
  </si>
  <si>
    <t>Q3 FY28</t>
  </si>
  <si>
    <t>Oct-Dec 2027</t>
  </si>
  <si>
    <t>Q4 FY28</t>
  </si>
  <si>
    <t>Jan-Mar 2028</t>
  </si>
  <si>
    <t>Q1 FY29</t>
  </si>
  <si>
    <t>Apr-Jun 2028</t>
  </si>
  <si>
    <t>Q2 FY29</t>
  </si>
  <si>
    <t>Jul-Sep 2028</t>
  </si>
  <si>
    <t>QUARTERLY CASH FLOW WATERFALL - ROI / IRR / MOIC</t>
  </si>
  <si>
    <t>Date</t>
  </si>
  <si>
    <t>Revenue Inflow</t>
  </si>
  <si>
    <t>Land Cost</t>
  </si>
  <si>
    <t>Construction</t>
  </si>
  <si>
    <t>Permits</t>
  </si>
  <si>
    <t>SG&amp;A</t>
  </si>
  <si>
    <t>Debt Drawdown</t>
  </si>
  <si>
    <t>Debt Service</t>
  </si>
  <si>
    <t>Net Cash Flow</t>
  </si>
  <si>
    <t>Cumulative CF</t>
  </si>
  <si>
    <t>RETURNS METRICS</t>
  </si>
  <si>
    <t>Total Revenue</t>
  </si>
  <si>
    <t>Total Project Cost</t>
  </si>
  <si>
    <t>Net Profit</t>
  </si>
  <si>
    <t>ROI (%)</t>
  </si>
  <si>
    <t>MOIC</t>
  </si>
  <si>
    <t>IRR (XIRR)</t>
  </si>
  <si>
    <t>NPV</t>
  </si>
  <si>
    <t>DSCR (avg)</t>
  </si>
  <si>
    <t>LTV</t>
  </si>
  <si>
    <t>VILLA CONSTRUCTION - EXECUTIVE DASHBOARD</t>
  </si>
  <si>
    <t>Hyderabad Telangana  |  50 Villas  |  Apr 2026 - Sep 2028</t>
  </si>
  <si>
    <t>CEO VIEW - Project Overview</t>
  </si>
  <si>
    <t>Gross Margin %</t>
  </si>
  <si>
    <t>Units Sold</t>
  </si>
  <si>
    <t>Units Remaining</t>
  </si>
  <si>
    <t>CFO VIEW - Financial Returns</t>
  </si>
  <si>
    <t>ROI</t>
  </si>
  <si>
    <t>DSCR</t>
  </si>
  <si>
    <t>TARGET vs ACTUAL</t>
  </si>
  <si>
    <t>Metric</t>
  </si>
  <si>
    <t>Target</t>
  </si>
  <si>
    <t>Actual</t>
  </si>
  <si>
    <t>IRR</t>
  </si>
  <si>
    <t>CEO &amp; CFO EXECUTIVE SUMMARY REPORT</t>
  </si>
  <si>
    <t>Villa Construction Financial Model  |  Hyderabad, Telangana</t>
  </si>
  <si>
    <t>PROJECT SNAPSHOT</t>
  </si>
  <si>
    <t>Item</t>
  </si>
  <si>
    <t>Value</t>
  </si>
  <si>
    <t>Project</t>
  </si>
  <si>
    <t>50 Luxury Villas - 3 Floors Each</t>
  </si>
  <si>
    <t>Location</t>
  </si>
  <si>
    <t>Hyderabad, Telangana</t>
  </si>
  <si>
    <t>Duration</t>
  </si>
  <si>
    <t>30 Months (Apr 2026 - Sep 2028)</t>
  </si>
  <si>
    <t>Total Built-up</t>
  </si>
  <si>
    <t>Total Villas</t>
  </si>
  <si>
    <t>FINANCIAL HIGHLIGHTS</t>
  </si>
  <si>
    <t>Construction Cost</t>
  </si>
  <si>
    <t>Contingency</t>
  </si>
  <si>
    <t>Permits &amp; Approvals</t>
  </si>
  <si>
    <t>Net Profit (after tax)</t>
  </si>
  <si>
    <t>RETURNS ANALYSIS</t>
  </si>
  <si>
    <t>NPV @ Discount Rate</t>
  </si>
  <si>
    <t>DSCR (Average)</t>
  </si>
  <si>
    <t>LTV Ratio</t>
  </si>
  <si>
    <t>FINANCING STRUCTURE</t>
  </si>
  <si>
    <t>Total Debt</t>
  </si>
  <si>
    <t>Equity</t>
  </si>
  <si>
    <t>Debt / Equity Ratio</t>
  </si>
  <si>
    <t>Interest Rate</t>
  </si>
  <si>
    <t>Loan Tenor</t>
  </si>
  <si>
    <t>PERMITS STATUS (TSSPDCL / GHMC / RERA)</t>
  </si>
  <si>
    <t>TSSPDCL Electricity (LT)</t>
  </si>
  <si>
    <t>TSSPDCL Electricity (HT)</t>
  </si>
  <si>
    <t>Transformer Sub-station</t>
  </si>
  <si>
    <t>Total Permit Budget</t>
  </si>
  <si>
    <t>RISK &amp; RECOMMENDATIONS</t>
  </si>
  <si>
    <t>Pre-sales Target</t>
  </si>
  <si>
    <t>Achieve 25 villa bookings by Month 12 (50%)</t>
  </si>
  <si>
    <t>Cost Overrun Buffer</t>
  </si>
  <si>
    <t>Permit Timeline Risk</t>
  </si>
  <si>
    <t>Monitor GHMC + TSSPDCL lead times (90-120 days)</t>
  </si>
  <si>
    <t>Interest Rate Sensitivity</t>
  </si>
  <si>
    <t>+100bps reduces IRR by approx 1.2%</t>
  </si>
  <si>
    <t>Go / No-Go</t>
  </si>
  <si>
    <t>Proceed if IRR &gt; 18% and 40% pre-sales by Month 18</t>
  </si>
</sst>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#,##0"/>
    <numFmt numFmtId="167" formatCode="dd-mmm-yyyy"/>
  </numFmts>
  <fonts count="8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1B2A4A"/>
      <name val="Calibri"/>
      <family val="2"/>
      <scheme val="minor"/>
    </font>
    <font>
      <b/>
      <sz val="18"/>
      <color rgb="FF548235"/>
      <name val="Calibri"/>
      <family val="2"/>
      <scheme val="minor"/>
    </font>
    <font>
      <b/>
      <sz val="18"/>
      <color rgb="FF2E75B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/>
    </xf>
    <xf numFmtId="164" fontId="0" fillId="3" borderId="2" xfId="0" applyNumberFormat="1" applyFill="1" applyBorder="1"/>
    <xf numFmtId="165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0" fillId="3" borderId="2" xfId="0" applyNumberFormat="1" applyFill="1" applyBorder="1"/>
    <xf numFmtId="166" fontId="0" fillId="3" borderId="2" xfId="0" applyNumberFormat="1" applyFill="1" applyBorder="1"/>
    <xf numFmtId="0" fontId="6" fillId="2" borderId="2" xfId="0" applyFont="1" applyFill="1" applyBorder="1" applyAlignment="1">
      <alignment horizontal="center" wrapText="1"/>
    </xf>
    <xf numFmtId="0" fontId="7" fillId="4" borderId="2" xfId="0" applyFont="1" applyFill="1" applyBorder="1"/>
    <xf numFmtId="0" fontId="0" fillId="0" borderId="2" xfId="0" applyBorder="1"/>
    <xf numFmtId="166" fontId="0" fillId="5" borderId="2" xfId="0" applyNumberFormat="1" applyFill="1" applyBorder="1"/>
    <xf numFmtId="167" fontId="0" fillId="0" borderId="2" xfId="0" applyNumberFormat="1" applyBorder="1"/>
    <xf numFmtId="164" fontId="0" fillId="5" borderId="2" xfId="0" applyNumberFormat="1" applyFill="1" applyBorder="1"/>
    <xf numFmtId="165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Revenue vs Construction Spend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Inflow</c:v>
          </c:tx>
          <c:spPr>
            <a:solidFill>
              <a:srgbClr val="2E75B6"/>
            </a:solidFill>
          </c:spPr>
          <c:cat>
            <c:strRef>
              <c:f>CASH_FLOW!$A$4:$A$13</c:f>
              <c:strCache>
                <c:ptCount val="10"/>
                <c:pt idx="0">
                  <c:v>Q1 FY27</c:v>
                </c:pt>
                <c:pt idx="1">
                  <c:v>Q2 FY27</c:v>
                </c:pt>
                <c:pt idx="2">
                  <c:v>Q3 FY27</c:v>
                </c:pt>
                <c:pt idx="3">
                  <c:v>Q4 FY27</c:v>
                </c:pt>
                <c:pt idx="4">
                  <c:v>Q1 FY28</c:v>
                </c:pt>
                <c:pt idx="5">
                  <c:v>Q2 FY28</c:v>
                </c:pt>
                <c:pt idx="6">
                  <c:v>Q3 FY28</c:v>
                </c:pt>
                <c:pt idx="7">
                  <c:v>Q4 FY28</c:v>
                </c:pt>
                <c:pt idx="8">
                  <c:v>Q1 FY29</c:v>
                </c:pt>
                <c:pt idx="9">
                  <c:v>Q2 FY29</c:v>
                </c:pt>
              </c:strCache>
            </c:strRef>
          </c:cat>
          <c:val>
            <c:numRef>
              <c:f>CASH_FLOW!$C$4:$C$13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Construction Cost</c:v>
          </c:tx>
          <c:spPr>
            <a:solidFill>
              <a:srgbClr val="C00000"/>
            </a:solidFill>
          </c:spPr>
          <c:cat>
            <c:strRef>
              <c:f>CASH_FLOW!$A$4:$A$13</c:f>
              <c:strCache>
                <c:ptCount val="10"/>
                <c:pt idx="0">
                  <c:v>Q1 FY27</c:v>
                </c:pt>
                <c:pt idx="1">
                  <c:v>Q2 FY27</c:v>
                </c:pt>
                <c:pt idx="2">
                  <c:v>Q3 FY27</c:v>
                </c:pt>
                <c:pt idx="3">
                  <c:v>Q4 FY27</c:v>
                </c:pt>
                <c:pt idx="4">
                  <c:v>Q1 FY28</c:v>
                </c:pt>
                <c:pt idx="5">
                  <c:v>Q2 FY28</c:v>
                </c:pt>
                <c:pt idx="6">
                  <c:v>Q3 FY28</c:v>
                </c:pt>
                <c:pt idx="7">
                  <c:v>Q4 FY28</c:v>
                </c:pt>
                <c:pt idx="8">
                  <c:v>Q1 FY29</c:v>
                </c:pt>
                <c:pt idx="9">
                  <c:v>Q2 FY29</c:v>
                </c:pt>
              </c:strCache>
            </c:strRef>
          </c:cat>
          <c:val>
            <c:numRef>
              <c:f>CASH_FLOW!$E$4:$E$13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&quot;₹&quot;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Cash Flow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Cumulative Cash Flow</c:v>
          </c:tx>
          <c:spPr>
            <a:ln w="31750">
              <a:solidFill>
                <a:srgbClr val="548235"/>
              </a:solidFill>
            </a:ln>
          </c:spPr>
          <c:marker>
            <c:symbol val="circle"/>
            <c:size val="5"/>
          </c:marker>
          <c:cat>
            <c:strRef>
              <c:f>CASH_FLOW!$A$4:$A$13</c:f>
              <c:strCache>
                <c:ptCount val="10"/>
                <c:pt idx="0">
                  <c:v>Q1 FY27</c:v>
                </c:pt>
                <c:pt idx="1">
                  <c:v>Q2 FY27</c:v>
                </c:pt>
                <c:pt idx="2">
                  <c:v>Q3 FY27</c:v>
                </c:pt>
                <c:pt idx="3">
                  <c:v>Q4 FY27</c:v>
                </c:pt>
                <c:pt idx="4">
                  <c:v>Q1 FY28</c:v>
                </c:pt>
                <c:pt idx="5">
                  <c:v>Q2 FY28</c:v>
                </c:pt>
                <c:pt idx="6">
                  <c:v>Q3 FY28</c:v>
                </c:pt>
                <c:pt idx="7">
                  <c:v>Q4 FY28</c:v>
                </c:pt>
                <c:pt idx="8">
                  <c:v>Q1 FY29</c:v>
                </c:pt>
                <c:pt idx="9">
                  <c:v>Q2 FY29</c:v>
                </c:pt>
              </c:strCache>
            </c:strRef>
          </c:cat>
          <c:val>
            <c:numRef>
              <c:f>CASH_FLOW!$K$4:$K$13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&quot;₹&quot;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Villa Type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Unit Mix Revenue</c:v>
          </c:tx>
          <c:cat>
            <c:numRef>
              <c:f>SALES_REVENUE!$A$5:$A$7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SALES_REVENUE!$D$5:$D$7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Construction SOV by Trade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Trade Budget</c:v>
          </c:tx>
          <c:spPr>
            <a:solidFill>
              <a:srgbClr val="FFC000"/>
            </a:solidFill>
          </c:spPr>
          <c:cat>
            <c:strRef>
              <c:f>SOV_CONSTRUCTION!$A$4:$A$15</c:f>
              <c:strCache>
                <c:ptCount val="12"/>
                <c:pt idx="0">
                  <c:v>Site Development &amp; Earthwork</c:v>
                </c:pt>
                <c:pt idx="1">
                  <c:v>RCC Structure (Foundation to Slab)</c:v>
                </c:pt>
                <c:pt idx="2">
                  <c:v>Masonry &amp; Plastering</c:v>
                </c:pt>
                <c:pt idx="3">
                  <c:v>Electrical (Internal + External)</c:v>
                </c:pt>
                <c:pt idx="4">
                  <c:v>Plumbing &amp; Sanitary</c:v>
                </c:pt>
                <c:pt idx="5">
                  <c:v>Flooring &amp; Tiling</c:v>
                </c:pt>
                <c:pt idx="6">
                  <c:v>Doors, Windows &amp; Aluminium</c:v>
                </c:pt>
                <c:pt idx="7">
                  <c:v>Painting (Internal + External)</c:v>
                </c:pt>
                <c:pt idx="8">
                  <c:v>HVAC / VRF (if applicable)</c:v>
                </c:pt>
                <c:pt idx="9">
                  <c:v>Landscaping &amp; External Works</c:v>
                </c:pt>
                <c:pt idx="10">
                  <c:v>Elevator / Lift (if applicable)</c:v>
                </c:pt>
                <c:pt idx="11">
                  <c:v>Miscellaneous &amp; Finishing</c:v>
                </c:pt>
              </c:strCache>
            </c:strRef>
          </c:cat>
          <c:val>
            <c:numRef>
              <c:f>SOV_CONSTRUCTION!$B$4:$B$15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4</xdr:col>
      <xdr:colOff>809625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8</xdr:col>
      <xdr:colOff>809625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3</xdr:col>
      <xdr:colOff>1047750</xdr:colOff>
      <xdr:row>50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8</xdr:col>
      <xdr:colOff>809625</xdr:colOff>
      <xdr:row>52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18"/>
  <sheetViews>
    <sheetView tabSelected="1" workbookViewId="0"/>
  </sheetViews>
  <sheetFormatPr defaultRowHeight="15"/>
  <cols>
    <col min="1" max="1" width="2.7109375" customWidth="1"/>
    <col min="2" max="9" width="20.7109375" customWidth="1"/>
  </cols>
  <sheetData>
    <row r="2" spans="2:9">
      <c r="B2" s="1" t="s">
        <v>158</v>
      </c>
      <c r="C2" s="1"/>
      <c r="D2" s="1"/>
      <c r="E2" s="1"/>
      <c r="F2" s="1"/>
      <c r="G2" s="1"/>
      <c r="H2" s="1"/>
      <c r="I2" s="1"/>
    </row>
    <row r="3" spans="2:9">
      <c r="B3" s="2" t="s">
        <v>159</v>
      </c>
    </row>
    <row r="5" spans="2:9">
      <c r="B5" s="3" t="s">
        <v>160</v>
      </c>
      <c r="C5" s="3"/>
      <c r="D5" s="3"/>
      <c r="E5" s="3"/>
      <c r="F5" s="3" t="s">
        <v>164</v>
      </c>
      <c r="G5" s="3"/>
      <c r="H5" s="3"/>
      <c r="I5" s="3"/>
    </row>
    <row r="7" spans="2:9">
      <c r="B7" s="4" t="s">
        <v>149</v>
      </c>
      <c r="C7" s="5">
        <f>SALES_REVENUE!$D$8</f>
        <v>0</v>
      </c>
      <c r="G7" s="4" t="s">
        <v>165</v>
      </c>
      <c r="H7" s="6">
        <f>CASH_FLOW!$B$19</f>
        <v>0</v>
      </c>
    </row>
    <row r="8" spans="2:9">
      <c r="B8" s="4" t="s">
        <v>150</v>
      </c>
      <c r="C8" s="5">
        <f>ASSUMPTIONS!$B$59</f>
        <v>0</v>
      </c>
      <c r="G8" s="4" t="s">
        <v>154</v>
      </c>
      <c r="H8" s="6">
        <f>CASH_FLOW!$B$21</f>
        <v>0</v>
      </c>
    </row>
    <row r="9" spans="2:9">
      <c r="B9" s="4" t="s">
        <v>151</v>
      </c>
      <c r="C9" s="5">
        <f>CASH_FLOW!$B$18</f>
        <v>0</v>
      </c>
      <c r="G9" s="4" t="s">
        <v>153</v>
      </c>
      <c r="H9" s="7">
        <f>CASH_FLOW!$B$20</f>
        <v>0</v>
      </c>
    </row>
    <row r="10" spans="2:9">
      <c r="B10" s="4" t="s">
        <v>161</v>
      </c>
      <c r="C10" s="8">
        <f>CASH_FLOW!$B$18/SALES_REVENUE!$D$8</f>
        <v>0</v>
      </c>
      <c r="G10" s="4" t="s">
        <v>155</v>
      </c>
      <c r="H10" s="5">
        <f>CASH_FLOW!$B$22</f>
        <v>0</v>
      </c>
    </row>
    <row r="11" spans="2:9">
      <c r="B11" s="4" t="s">
        <v>162</v>
      </c>
      <c r="C11" s="9">
        <f>SALES_REVENUE!E8</f>
        <v>0</v>
      </c>
      <c r="G11" s="4" t="s">
        <v>166</v>
      </c>
      <c r="H11" s="7">
        <f>CASH_FLOW!$B$23</f>
        <v>0</v>
      </c>
    </row>
    <row r="12" spans="2:9">
      <c r="B12" s="4" t="s">
        <v>163</v>
      </c>
      <c r="C12" s="9">
        <f>SALES_REVENUE!B8-SALES_REVENUE!E8</f>
        <v>0</v>
      </c>
      <c r="G12" s="4" t="s">
        <v>157</v>
      </c>
      <c r="H12" s="6">
        <f>CASH_FLOW!$B$24</f>
        <v>0</v>
      </c>
    </row>
    <row r="14" spans="2:9">
      <c r="B14" s="3" t="s">
        <v>167</v>
      </c>
      <c r="C14" s="3"/>
      <c r="D14" s="3"/>
      <c r="E14" s="3"/>
    </row>
    <row r="15" spans="2:9">
      <c r="B15" s="10" t="s">
        <v>168</v>
      </c>
      <c r="C15" s="10" t="s">
        <v>169</v>
      </c>
      <c r="D15" s="10" t="s">
        <v>170</v>
      </c>
      <c r="E15" s="10" t="s">
        <v>70</v>
      </c>
    </row>
    <row r="16" spans="2:9">
      <c r="B16" s="11" t="s">
        <v>165</v>
      </c>
      <c r="C16" s="8">
        <f>ASSUMPTIONS!$B$54</f>
        <v>0</v>
      </c>
      <c r="D16" s="8">
        <f>CASH_FLOW!$B$19</f>
        <v>0</v>
      </c>
      <c r="E16" s="12">
        <f>IF(D16&gt;=C16,"On Track","Below Target")</f>
        <v>0</v>
      </c>
    </row>
    <row r="17" spans="2:5">
      <c r="B17" s="11" t="s">
        <v>171</v>
      </c>
      <c r="C17" s="8">
        <f>ASSUMPTIONS!$B$55</f>
        <v>0</v>
      </c>
      <c r="D17" s="8">
        <f>CASH_FLOW!$B$21</f>
        <v>0</v>
      </c>
      <c r="E17" s="12">
        <f>IF(D17&gt;=C17,"On Track","Below Target")</f>
        <v>0</v>
      </c>
    </row>
    <row r="18" spans="2:5">
      <c r="B18" s="11" t="s">
        <v>153</v>
      </c>
      <c r="C18" s="9">
        <f>ASSUMPTIONS!$B$56</f>
        <v>0</v>
      </c>
      <c r="D18" s="9">
        <f>CASH_FLOW!$B$20</f>
        <v>0</v>
      </c>
      <c r="E18" s="12">
        <f>IF(D18&gt;=C18,"On Track","Below Target")</f>
        <v>0</v>
      </c>
    </row>
  </sheetData>
  <mergeCells count="4">
    <mergeCell ref="B2:I2"/>
    <mergeCell ref="B5:E5"/>
    <mergeCell ref="F5:I5"/>
    <mergeCell ref="B14:E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cols>
    <col min="1" max="1" width="38.7109375" customWidth="1"/>
    <col min="2" max="4" width="18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D2" s="2" t="s">
        <v>2</v>
      </c>
    </row>
    <row r="4" spans="1:4">
      <c r="A4" s="3" t="s">
        <v>3</v>
      </c>
      <c r="B4" s="3"/>
      <c r="C4" s="3"/>
      <c r="D4" s="3"/>
    </row>
    <row r="5" spans="1:4">
      <c r="A5" s="11" t="s">
        <v>4</v>
      </c>
      <c r="B5" s="13">
        <v>50</v>
      </c>
    </row>
    <row r="6" spans="1:4">
      <c r="A6" s="11" t="s">
        <v>5</v>
      </c>
      <c r="B6" s="13">
        <v>3</v>
      </c>
    </row>
    <row r="7" spans="1:4">
      <c r="A7" s="11" t="s">
        <v>6</v>
      </c>
      <c r="B7" s="13">
        <v>2100</v>
      </c>
    </row>
    <row r="8" spans="1:4">
      <c r="A8" s="11" t="s">
        <v>7</v>
      </c>
      <c r="B8" s="9">
        <f>ASSUMPTIONS!$B$5*ASSUMPTIONS!$B$7</f>
        <v>0</v>
      </c>
    </row>
    <row r="9" spans="1:4">
      <c r="A9" s="11" t="s">
        <v>8</v>
      </c>
      <c r="B9" s="14">
        <v>46113</v>
      </c>
    </row>
    <row r="10" spans="1:4">
      <c r="A10" s="11" t="s">
        <v>9</v>
      </c>
      <c r="B10" s="14">
        <v>47026</v>
      </c>
    </row>
    <row r="11" spans="1:4">
      <c r="A11" s="11" t="s">
        <v>10</v>
      </c>
      <c r="B11" s="13">
        <v>30</v>
      </c>
    </row>
    <row r="12" spans="1:4">
      <c r="A12" s="3" t="s">
        <v>11</v>
      </c>
      <c r="B12" s="3"/>
      <c r="C12" s="3"/>
      <c r="D12" s="3"/>
    </row>
    <row r="13" spans="1:4">
      <c r="A13" s="11" t="s">
        <v>12</v>
      </c>
      <c r="B13" s="15">
        <v>50000000</v>
      </c>
    </row>
    <row r="14" spans="1:4">
      <c r="A14" s="3" t="s">
        <v>13</v>
      </c>
      <c r="B14" s="3"/>
      <c r="C14" s="3"/>
      <c r="D14" s="3"/>
    </row>
    <row r="15" spans="1:4">
      <c r="A15" s="11" t="s">
        <v>14</v>
      </c>
      <c r="B15" s="15">
        <v>2800</v>
      </c>
    </row>
    <row r="16" spans="1:4">
      <c r="A16" s="11" t="s">
        <v>15</v>
      </c>
      <c r="B16" s="5">
        <f>ASSUMPTIONS!$B$8*ASSUMPTIONS!$B$15</f>
        <v>0</v>
      </c>
    </row>
    <row r="17" spans="1:4">
      <c r="A17" s="11" t="s">
        <v>16</v>
      </c>
      <c r="B17" s="16">
        <v>0.05</v>
      </c>
    </row>
    <row r="18" spans="1:4">
      <c r="A18" s="11" t="s">
        <v>17</v>
      </c>
      <c r="B18" s="5">
        <f>ASSUMPTIONS!$B$16*ASSUMPTIONS!$B$17</f>
        <v>0</v>
      </c>
    </row>
    <row r="19" spans="1:4">
      <c r="A19" s="3" t="s">
        <v>18</v>
      </c>
      <c r="B19" s="3"/>
      <c r="C19" s="3"/>
      <c r="D19" s="3"/>
    </row>
    <row r="20" spans="1:4">
      <c r="A20" s="11" t="s">
        <v>19</v>
      </c>
      <c r="B20" s="16">
        <v>0.05</v>
      </c>
    </row>
    <row r="21" spans="1:4">
      <c r="A21" s="11" t="s">
        <v>20</v>
      </c>
      <c r="B21" s="5">
        <f>PERMITS!$B$21</f>
        <v>0</v>
      </c>
    </row>
    <row r="22" spans="1:4">
      <c r="A22" s="3" t="s">
        <v>21</v>
      </c>
      <c r="B22" s="3"/>
      <c r="C22" s="3"/>
      <c r="D22" s="3"/>
    </row>
    <row r="23" spans="1:4">
      <c r="A23" s="11" t="s">
        <v>22</v>
      </c>
      <c r="B23" s="15">
        <v>7000000</v>
      </c>
    </row>
    <row r="24" spans="1:4">
      <c r="A24" s="11" t="s">
        <v>23</v>
      </c>
      <c r="B24" s="15">
        <v>11000000</v>
      </c>
    </row>
    <row r="25" spans="1:4">
      <c r="A25" s="11" t="s">
        <v>24</v>
      </c>
      <c r="B25" s="5">
        <f>AVERAGE(ASSUMPTIONS!$B$23:ASSUMPTIONS!$B$24)</f>
        <v>0</v>
      </c>
    </row>
    <row r="26" spans="1:4">
      <c r="A26" s="3" t="s">
        <v>25</v>
      </c>
      <c r="B26" s="3"/>
      <c r="C26" s="3"/>
      <c r="D26" s="3"/>
    </row>
    <row r="27" spans="1:4">
      <c r="A27" s="10" t="s">
        <v>26</v>
      </c>
      <c r="B27" s="10" t="s">
        <v>27</v>
      </c>
      <c r="C27" s="10" t="s">
        <v>28</v>
      </c>
      <c r="D27" s="10" t="s">
        <v>29</v>
      </c>
    </row>
    <row r="28" spans="1:4">
      <c r="A28" s="12" t="s">
        <v>30</v>
      </c>
      <c r="B28" s="13">
        <v>20</v>
      </c>
      <c r="C28" s="15">
        <v>8000000</v>
      </c>
      <c r="D28" s="5">
        <f>B28*C28</f>
        <v>0</v>
      </c>
    </row>
    <row r="29" spans="1:4">
      <c r="A29" s="12" t="s">
        <v>31</v>
      </c>
      <c r="B29" s="13">
        <v>18</v>
      </c>
      <c r="C29" s="15">
        <v>10000000</v>
      </c>
      <c r="D29" s="5">
        <f>B29*C29</f>
        <v>0</v>
      </c>
    </row>
    <row r="30" spans="1:4">
      <c r="A30" s="12" t="s">
        <v>32</v>
      </c>
      <c r="B30" s="13">
        <v>12</v>
      </c>
      <c r="C30" s="15">
        <v>11500000</v>
      </c>
      <c r="D30" s="5">
        <f>B30*C30</f>
        <v>0</v>
      </c>
    </row>
    <row r="31" spans="1:4">
      <c r="A31" s="11" t="s">
        <v>33</v>
      </c>
      <c r="B31" s="9">
        <f>SUM(B28:B30)</f>
        <v>0</v>
      </c>
      <c r="D31" s="5">
        <f>SUM(D28:D30)</f>
        <v>0</v>
      </c>
    </row>
    <row r="33" spans="1:4">
      <c r="A33" s="11" t="s">
        <v>34</v>
      </c>
      <c r="B33" s="5">
        <f>ASSUMPTIONS!$D$31</f>
        <v>0</v>
      </c>
      <c r="D33" s="2" t="s">
        <v>35</v>
      </c>
    </row>
    <row r="34" spans="1:4">
      <c r="A34" s="3" t="s">
        <v>36</v>
      </c>
      <c r="B34" s="3"/>
      <c r="C34" s="3"/>
      <c r="D34" s="3"/>
    </row>
    <row r="35" spans="1:4">
      <c r="A35" s="10" t="s">
        <v>37</v>
      </c>
      <c r="B35" s="10" t="s">
        <v>38</v>
      </c>
      <c r="C35" s="10" t="s">
        <v>39</v>
      </c>
    </row>
    <row r="36" spans="1:4">
      <c r="A36" s="12" t="s">
        <v>40</v>
      </c>
      <c r="B36" s="16">
        <v>0.1</v>
      </c>
      <c r="C36" s="13">
        <v>1</v>
      </c>
    </row>
    <row r="37" spans="1:4">
      <c r="A37" s="12" t="s">
        <v>41</v>
      </c>
      <c r="B37" s="16">
        <v>0.15</v>
      </c>
      <c r="C37" s="13">
        <v>3</v>
      </c>
    </row>
    <row r="38" spans="1:4">
      <c r="A38" s="12" t="s">
        <v>42</v>
      </c>
      <c r="B38" s="16">
        <v>0.15</v>
      </c>
      <c r="C38" s="13">
        <v>6</v>
      </c>
    </row>
    <row r="39" spans="1:4">
      <c r="A39" s="12" t="s">
        <v>43</v>
      </c>
      <c r="B39" s="16">
        <v>0.15</v>
      </c>
      <c r="C39" s="13">
        <v>12</v>
      </c>
    </row>
    <row r="40" spans="1:4">
      <c r="A40" s="12" t="s">
        <v>44</v>
      </c>
      <c r="B40" s="16">
        <v>0.15</v>
      </c>
      <c r="C40" s="13">
        <v>18</v>
      </c>
    </row>
    <row r="41" spans="1:4">
      <c r="A41" s="12" t="s">
        <v>45</v>
      </c>
      <c r="B41" s="16">
        <v>0.15</v>
      </c>
      <c r="C41" s="13">
        <v>24</v>
      </c>
    </row>
    <row r="42" spans="1:4">
      <c r="A42" s="12" t="s">
        <v>46</v>
      </c>
      <c r="B42" s="16">
        <v>0.15</v>
      </c>
      <c r="C42" s="13">
        <v>30</v>
      </c>
    </row>
    <row r="44" spans="1:4">
      <c r="A44" s="3" t="s">
        <v>47</v>
      </c>
      <c r="B44" s="3"/>
      <c r="C44" s="3"/>
      <c r="D44" s="3"/>
    </row>
    <row r="45" spans="1:4">
      <c r="A45" s="11" t="s">
        <v>48</v>
      </c>
      <c r="B45" s="16">
        <v>0.625</v>
      </c>
    </row>
    <row r="46" spans="1:4">
      <c r="A46" s="11" t="s">
        <v>49</v>
      </c>
      <c r="B46" s="16">
        <v>0.115</v>
      </c>
    </row>
    <row r="47" spans="1:4">
      <c r="A47" s="11" t="s">
        <v>50</v>
      </c>
      <c r="B47" s="13">
        <v>5</v>
      </c>
    </row>
    <row r="48" spans="1:4">
      <c r="A48" s="11" t="s">
        <v>51</v>
      </c>
      <c r="B48" s="13">
        <v>18</v>
      </c>
    </row>
    <row r="49" spans="1:4">
      <c r="A49" s="3" t="s">
        <v>52</v>
      </c>
      <c r="B49" s="3"/>
      <c r="C49" s="3"/>
      <c r="D49" s="3"/>
    </row>
    <row r="50" spans="1:4">
      <c r="A50" s="11" t="s">
        <v>53</v>
      </c>
      <c r="B50" s="16">
        <v>0.03</v>
      </c>
    </row>
    <row r="51" spans="1:4">
      <c r="A51" s="11" t="s">
        <v>54</v>
      </c>
      <c r="B51" s="16">
        <v>0.3</v>
      </c>
    </row>
    <row r="52" spans="1:4">
      <c r="A52" s="11" t="s">
        <v>55</v>
      </c>
      <c r="B52" s="16">
        <v>0.15</v>
      </c>
    </row>
    <row r="53" spans="1:4">
      <c r="A53" s="3" t="s">
        <v>56</v>
      </c>
      <c r="B53" s="3"/>
      <c r="C53" s="3"/>
      <c r="D53" s="3"/>
    </row>
    <row r="54" spans="1:4">
      <c r="A54" s="11" t="s">
        <v>57</v>
      </c>
      <c r="B54" s="16">
        <v>0.16</v>
      </c>
    </row>
    <row r="55" spans="1:4">
      <c r="A55" s="11" t="s">
        <v>58</v>
      </c>
      <c r="B55" s="16">
        <v>0.2</v>
      </c>
    </row>
    <row r="56" spans="1:4">
      <c r="A56" s="11" t="s">
        <v>59</v>
      </c>
      <c r="B56" s="13">
        <v>1.35</v>
      </c>
    </row>
    <row r="58" spans="1:4">
      <c r="A58" s="3" t="s">
        <v>60</v>
      </c>
      <c r="B58" s="3"/>
      <c r="C58" s="3"/>
      <c r="D58" s="3"/>
    </row>
    <row r="59" spans="1:4">
      <c r="A59" s="11" t="s">
        <v>61</v>
      </c>
      <c r="B59" s="5">
        <f>ASSUMPTIONS!$B$13+ASSUMPTIONS!$B$16+ASSUMPTIONS!$B$18+ASSUMPTIONS!$B$21</f>
        <v>0</v>
      </c>
    </row>
    <row r="60" spans="1:4">
      <c r="A60" s="11" t="s">
        <v>62</v>
      </c>
      <c r="B60" s="5">
        <f>ASSUMPTIONS!$B$59*ASSUMPTIONS!$B$45</f>
        <v>0</v>
      </c>
    </row>
    <row r="61" spans="1:4">
      <c r="A61" s="11" t="s">
        <v>63</v>
      </c>
      <c r="B61" s="5">
        <f>ASSUMPTIONS!$B$59-ASSUMPTIONS!$B$60</f>
        <v>0</v>
      </c>
    </row>
    <row r="62" spans="1:4">
      <c r="A62" s="11" t="s">
        <v>64</v>
      </c>
      <c r="B62" s="5">
        <f>(ASSUMPTIONS!$B$33-ASSUMPTIONS!$B$59)*(1-ASSUMPTIONS!$B$51)</f>
        <v>0</v>
      </c>
    </row>
  </sheetData>
  <mergeCells count="12">
    <mergeCell ref="A1:D1"/>
    <mergeCell ref="A4:D4"/>
    <mergeCell ref="A12:D12"/>
    <mergeCell ref="A14:D14"/>
    <mergeCell ref="A19:D19"/>
    <mergeCell ref="A22:D22"/>
    <mergeCell ref="A26:D26"/>
    <mergeCell ref="A34:D34"/>
    <mergeCell ref="A44:D44"/>
    <mergeCell ref="A49:D49"/>
    <mergeCell ref="A53:D53"/>
    <mergeCell ref="A58:D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7" width="16.7109375" customWidth="1"/>
  </cols>
  <sheetData>
    <row r="1" spans="1:7">
      <c r="A1" s="1" t="s">
        <v>65</v>
      </c>
      <c r="B1" s="1"/>
      <c r="C1" s="1"/>
      <c r="D1" s="1"/>
      <c r="E1" s="1"/>
      <c r="F1" s="1"/>
      <c r="G1" s="1"/>
    </row>
    <row r="3" spans="1:7">
      <c r="A3" s="10" t="s">
        <v>66</v>
      </c>
      <c r="B3" s="10" t="s">
        <v>67</v>
      </c>
      <c r="C3" s="10" t="s">
        <v>68</v>
      </c>
      <c r="D3" s="10" t="s">
        <v>69</v>
      </c>
      <c r="E3" s="10" t="s">
        <v>70</v>
      </c>
      <c r="F3" s="10" t="s">
        <v>71</v>
      </c>
      <c r="G3" s="10" t="s">
        <v>72</v>
      </c>
    </row>
    <row r="4" spans="1:7">
      <c r="A4" s="12" t="s">
        <v>73</v>
      </c>
      <c r="B4" s="15">
        <v>2500000</v>
      </c>
      <c r="C4" s="15">
        <v>0</v>
      </c>
      <c r="D4" s="5">
        <f>C4-B4</f>
        <v>0</v>
      </c>
      <c r="E4" s="13" t="s">
        <v>74</v>
      </c>
      <c r="F4" s="14">
        <v>46127</v>
      </c>
    </row>
    <row r="5" spans="1:7">
      <c r="A5" s="12" t="s">
        <v>75</v>
      </c>
      <c r="B5" s="15">
        <v>500000</v>
      </c>
      <c r="C5" s="15">
        <v>0</v>
      </c>
      <c r="D5" s="5">
        <f>C5-B5</f>
        <v>0</v>
      </c>
      <c r="E5" s="13" t="s">
        <v>74</v>
      </c>
      <c r="F5" s="14">
        <v>46143</v>
      </c>
    </row>
    <row r="6" spans="1:7">
      <c r="A6" s="12" t="s">
        <v>76</v>
      </c>
      <c r="B6" s="15">
        <v>350000</v>
      </c>
      <c r="C6" s="15">
        <v>0</v>
      </c>
      <c r="D6" s="5">
        <f>C6-B6</f>
        <v>0</v>
      </c>
      <c r="E6" s="13" t="s">
        <v>74</v>
      </c>
      <c r="F6" s="14">
        <v>46235</v>
      </c>
    </row>
    <row r="7" spans="1:7">
      <c r="A7" s="12" t="s">
        <v>77</v>
      </c>
      <c r="B7" s="15">
        <v>800000</v>
      </c>
      <c r="C7" s="15">
        <v>0</v>
      </c>
      <c r="D7" s="5">
        <f>C7-B7</f>
        <v>0</v>
      </c>
      <c r="E7" s="13" t="s">
        <v>74</v>
      </c>
      <c r="F7" s="14">
        <v>46174</v>
      </c>
    </row>
    <row r="8" spans="1:7">
      <c r="A8" s="12" t="s">
        <v>78</v>
      </c>
      <c r="B8" s="15">
        <v>1200000</v>
      </c>
      <c r="C8" s="15">
        <v>0</v>
      </c>
      <c r="D8" s="5">
        <f>C8-B8</f>
        <v>0</v>
      </c>
      <c r="E8" s="13" t="s">
        <v>74</v>
      </c>
      <c r="F8" s="14">
        <v>46204</v>
      </c>
    </row>
    <row r="9" spans="1:7">
      <c r="A9" s="12" t="s">
        <v>79</v>
      </c>
      <c r="B9" s="15">
        <v>2500000</v>
      </c>
      <c r="C9" s="15">
        <v>0</v>
      </c>
      <c r="D9" s="5">
        <f>C9-B9</f>
        <v>0</v>
      </c>
      <c r="E9" s="13" t="s">
        <v>74</v>
      </c>
      <c r="F9" s="14">
        <v>46266</v>
      </c>
    </row>
    <row r="10" spans="1:7">
      <c r="A10" s="12" t="s">
        <v>80</v>
      </c>
      <c r="B10" s="15">
        <v>600000</v>
      </c>
      <c r="C10" s="15">
        <v>0</v>
      </c>
      <c r="D10" s="5">
        <f>C10-B10</f>
        <v>0</v>
      </c>
      <c r="E10" s="13" t="s">
        <v>74</v>
      </c>
      <c r="F10" s="14">
        <v>46188</v>
      </c>
    </row>
    <row r="11" spans="1:7">
      <c r="A11" s="12" t="s">
        <v>81</v>
      </c>
      <c r="B11" s="15">
        <v>400000</v>
      </c>
      <c r="C11" s="15">
        <v>0</v>
      </c>
      <c r="D11" s="5">
        <f>C11-B11</f>
        <v>0</v>
      </c>
      <c r="E11" s="13" t="s">
        <v>74</v>
      </c>
      <c r="F11" s="14">
        <v>46157</v>
      </c>
    </row>
    <row r="12" spans="1:7">
      <c r="A12" s="12" t="s">
        <v>82</v>
      </c>
      <c r="B12" s="15">
        <v>200000</v>
      </c>
      <c r="C12" s="15">
        <v>0</v>
      </c>
      <c r="D12" s="5">
        <f>C12-B12</f>
        <v>0</v>
      </c>
      <c r="E12" s="13" t="s">
        <v>83</v>
      </c>
    </row>
    <row r="13" spans="1:7">
      <c r="A13" s="12" t="s">
        <v>84</v>
      </c>
      <c r="B13" s="15">
        <v>150000</v>
      </c>
      <c r="C13" s="15">
        <v>0</v>
      </c>
      <c r="D13" s="5">
        <f>C13-B13</f>
        <v>0</v>
      </c>
      <c r="E13" s="13" t="s">
        <v>74</v>
      </c>
      <c r="F13" s="14">
        <v>46113</v>
      </c>
    </row>
    <row r="15" spans="1:7">
      <c r="A15" s="11" t="s">
        <v>85</v>
      </c>
      <c r="B15" s="5">
        <f>SUM(B4:B13)</f>
        <v>0</v>
      </c>
      <c r="C15" s="5">
        <f>SUM(C4:C13)</f>
        <v>0</v>
      </c>
      <c r="D15" s="5">
        <f>C15-B15</f>
        <v>0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32.7109375" customWidth="1"/>
    <col min="2" max="6" width="16.7109375" customWidth="1"/>
  </cols>
  <sheetData>
    <row r="1" spans="1:6">
      <c r="A1" s="1" t="s">
        <v>86</v>
      </c>
      <c r="B1" s="1"/>
      <c r="C1" s="1"/>
      <c r="D1" s="1"/>
      <c r="E1" s="1"/>
      <c r="F1" s="1"/>
    </row>
    <row r="3" spans="1:6">
      <c r="A3" s="10" t="s">
        <v>87</v>
      </c>
      <c r="B3" s="10" t="s">
        <v>67</v>
      </c>
      <c r="C3" s="10" t="s">
        <v>88</v>
      </c>
      <c r="D3" s="10" t="s">
        <v>89</v>
      </c>
      <c r="E3" s="10" t="s">
        <v>90</v>
      </c>
      <c r="F3" s="10" t="s">
        <v>70</v>
      </c>
    </row>
    <row r="4" spans="1:6">
      <c r="A4" s="12" t="s">
        <v>91</v>
      </c>
      <c r="B4" s="5">
        <f>ASSUMPTIONS!$B$16*0.04</f>
        <v>0</v>
      </c>
      <c r="C4" s="16">
        <v>0.04</v>
      </c>
      <c r="D4" s="14">
        <v>46113</v>
      </c>
      <c r="E4" s="14">
        <v>46203</v>
      </c>
      <c r="F4" s="12" t="s">
        <v>92</v>
      </c>
    </row>
    <row r="5" spans="1:6">
      <c r="A5" s="12" t="s">
        <v>93</v>
      </c>
      <c r="B5" s="5">
        <f>ASSUMPTIONS!$B$16*0.28</f>
        <v>0</v>
      </c>
      <c r="C5" s="16">
        <v>0.28</v>
      </c>
      <c r="D5" s="14">
        <v>46143</v>
      </c>
      <c r="E5" s="14">
        <v>46568</v>
      </c>
      <c r="F5" s="12" t="s">
        <v>92</v>
      </c>
    </row>
    <row r="6" spans="1:6">
      <c r="A6" s="12" t="s">
        <v>94</v>
      </c>
      <c r="B6" s="5">
        <f>ASSUMPTIONS!$B$16*0.12</f>
        <v>0</v>
      </c>
      <c r="C6" s="16">
        <v>0.12</v>
      </c>
      <c r="D6" s="14">
        <v>46296</v>
      </c>
      <c r="E6" s="14">
        <v>46752</v>
      </c>
      <c r="F6" s="12" t="s">
        <v>92</v>
      </c>
    </row>
    <row r="7" spans="1:6">
      <c r="A7" s="12" t="s">
        <v>95</v>
      </c>
      <c r="B7" s="5">
        <f>ASSUMPTIONS!$B$16*0.1</f>
        <v>0</v>
      </c>
      <c r="C7" s="16">
        <v>0.1</v>
      </c>
      <c r="D7" s="14">
        <v>46388</v>
      </c>
      <c r="E7" s="14">
        <v>46934</v>
      </c>
      <c r="F7" s="12" t="s">
        <v>92</v>
      </c>
    </row>
    <row r="8" spans="1:6">
      <c r="A8" s="12" t="s">
        <v>96</v>
      </c>
      <c r="B8" s="5">
        <f>ASSUMPTIONS!$B$16*0.08</f>
        <v>0</v>
      </c>
      <c r="C8" s="16">
        <v>0.08</v>
      </c>
      <c r="D8" s="14">
        <v>46388</v>
      </c>
      <c r="E8" s="14">
        <v>46843</v>
      </c>
      <c r="F8" s="12" t="s">
        <v>92</v>
      </c>
    </row>
    <row r="9" spans="1:6">
      <c r="A9" s="12" t="s">
        <v>97</v>
      </c>
      <c r="B9" s="5">
        <f>ASSUMPTIONS!$B$16*0.09</f>
        <v>0</v>
      </c>
      <c r="C9" s="16">
        <v>0.09</v>
      </c>
      <c r="D9" s="14">
        <v>46569</v>
      </c>
      <c r="E9" s="14">
        <v>46934</v>
      </c>
      <c r="F9" s="12" t="s">
        <v>92</v>
      </c>
    </row>
    <row r="10" spans="1:6">
      <c r="A10" s="12" t="s">
        <v>98</v>
      </c>
      <c r="B10" s="5">
        <f>ASSUMPTIONS!$B$16*0.07</f>
        <v>0</v>
      </c>
      <c r="C10" s="16">
        <v>0.07000000000000001</v>
      </c>
      <c r="D10" s="14">
        <v>46478</v>
      </c>
      <c r="E10" s="14">
        <v>46904</v>
      </c>
      <c r="F10" s="12" t="s">
        <v>92</v>
      </c>
    </row>
    <row r="11" spans="1:6">
      <c r="A11" s="12" t="s">
        <v>99</v>
      </c>
      <c r="B11" s="5">
        <f>ASSUMPTIONS!$B$16*0.05</f>
        <v>0</v>
      </c>
      <c r="C11" s="16">
        <v>0.05</v>
      </c>
      <c r="D11" s="14">
        <v>46753</v>
      </c>
      <c r="E11" s="14">
        <v>46996</v>
      </c>
      <c r="F11" s="12" t="s">
        <v>92</v>
      </c>
    </row>
    <row r="12" spans="1:6">
      <c r="A12" s="12" t="s">
        <v>100</v>
      </c>
      <c r="B12" s="5">
        <f>ASSUMPTIONS!$B$16*0.04</f>
        <v>0</v>
      </c>
      <c r="C12" s="16">
        <v>0.04</v>
      </c>
      <c r="D12" s="14">
        <v>46784</v>
      </c>
      <c r="E12" s="14">
        <v>46965</v>
      </c>
      <c r="F12" s="12" t="s">
        <v>92</v>
      </c>
    </row>
    <row r="13" spans="1:6">
      <c r="A13" s="12" t="s">
        <v>101</v>
      </c>
      <c r="B13" s="5">
        <f>ASSUMPTIONS!$B$16*0.05</f>
        <v>0</v>
      </c>
      <c r="C13" s="16">
        <v>0.05</v>
      </c>
      <c r="D13" s="14">
        <v>46844</v>
      </c>
      <c r="E13" s="14">
        <v>47026</v>
      </c>
      <c r="F13" s="12" t="s">
        <v>92</v>
      </c>
    </row>
    <row r="14" spans="1:6">
      <c r="A14" s="12" t="s">
        <v>102</v>
      </c>
      <c r="B14" s="5">
        <f>ASSUMPTIONS!$B$16*0.03</f>
        <v>0</v>
      </c>
      <c r="C14" s="16">
        <v>0.03</v>
      </c>
      <c r="D14" s="14">
        <v>46661</v>
      </c>
      <c r="E14" s="14">
        <v>46934</v>
      </c>
      <c r="F14" s="12" t="s">
        <v>92</v>
      </c>
    </row>
    <row r="15" spans="1:6">
      <c r="A15" s="12" t="s">
        <v>103</v>
      </c>
      <c r="B15" s="5">
        <f>ASSUMPTIONS!$B$16*0.05</f>
        <v>0</v>
      </c>
      <c r="C15" s="16">
        <v>0.05</v>
      </c>
      <c r="D15" s="14">
        <v>46813</v>
      </c>
      <c r="E15" s="14">
        <v>47026</v>
      </c>
      <c r="F15" s="12" t="s">
        <v>92</v>
      </c>
    </row>
    <row r="17" spans="1:2">
      <c r="A17" s="11" t="s">
        <v>104</v>
      </c>
      <c r="B17" s="5">
        <f>SUM(B4:B15)</f>
        <v>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22.7109375" customWidth="1"/>
    <col min="2" max="8" width="14.7109375" customWidth="1"/>
  </cols>
  <sheetData>
    <row r="1" spans="1:8">
      <c r="A1" s="1" t="s">
        <v>105</v>
      </c>
      <c r="B1" s="1"/>
      <c r="C1" s="1"/>
      <c r="D1" s="1"/>
      <c r="E1" s="1"/>
      <c r="F1" s="1"/>
      <c r="G1" s="1"/>
      <c r="H1" s="1"/>
    </row>
    <row r="3" spans="1:8">
      <c r="A3" s="3" t="s">
        <v>25</v>
      </c>
    </row>
    <row r="4" spans="1:8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106</v>
      </c>
      <c r="F4" s="10" t="s">
        <v>107</v>
      </c>
      <c r="G4" s="10" t="s">
        <v>108</v>
      </c>
    </row>
    <row r="5" spans="1:8">
      <c r="A5" s="12">
        <f>ASSUMPTIONS!A29</f>
        <v>0</v>
      </c>
      <c r="B5" s="9">
        <f>ASSUMPTIONS!B29</f>
        <v>0</v>
      </c>
      <c r="C5" s="5">
        <f>ASSUMPTIONS!C29</f>
        <v>0</v>
      </c>
      <c r="D5" s="5">
        <f>ASSUMPTIONS!D29</f>
        <v>0</v>
      </c>
      <c r="E5" s="13">
        <v>0</v>
      </c>
      <c r="F5" s="9">
        <f>B5-E5</f>
        <v>0</v>
      </c>
      <c r="G5" s="8">
        <f>IF(B5=0,0,E5/B5)</f>
        <v>0</v>
      </c>
    </row>
    <row r="6" spans="1:8">
      <c r="A6" s="12">
        <f>ASSUMPTIONS!A30</f>
        <v>0</v>
      </c>
      <c r="B6" s="9">
        <f>ASSUMPTIONS!B30</f>
        <v>0</v>
      </c>
      <c r="C6" s="5">
        <f>ASSUMPTIONS!C30</f>
        <v>0</v>
      </c>
      <c r="D6" s="5">
        <f>ASSUMPTIONS!D30</f>
        <v>0</v>
      </c>
      <c r="E6" s="13">
        <v>0</v>
      </c>
      <c r="F6" s="9">
        <f>B6-E6</f>
        <v>0</v>
      </c>
      <c r="G6" s="8">
        <f>IF(B6=0,0,E6/B6)</f>
        <v>0</v>
      </c>
    </row>
    <row r="7" spans="1:8">
      <c r="A7" s="12">
        <f>ASSUMPTIONS!A31</f>
        <v>0</v>
      </c>
      <c r="B7" s="9">
        <f>ASSUMPTIONS!B31</f>
        <v>0</v>
      </c>
      <c r="C7" s="5">
        <f>ASSUMPTIONS!C31</f>
        <v>0</v>
      </c>
      <c r="D7" s="5">
        <f>ASSUMPTIONS!D31</f>
        <v>0</v>
      </c>
      <c r="E7" s="13">
        <v>0</v>
      </c>
      <c r="F7" s="9">
        <f>B7-E7</f>
        <v>0</v>
      </c>
      <c r="G7" s="8">
        <f>IF(B7=0,0,E7/B7)</f>
        <v>0</v>
      </c>
    </row>
    <row r="8" spans="1:8">
      <c r="A8" s="11" t="s">
        <v>109</v>
      </c>
      <c r="B8" s="9">
        <f>SUM(B5:B7)</f>
        <v>0</v>
      </c>
      <c r="D8" s="5">
        <f>SUM(D5:D7)</f>
        <v>0</v>
      </c>
      <c r="E8" s="9">
        <f>SUM(E5:E7)</f>
        <v>0</v>
      </c>
    </row>
    <row r="10" spans="1:8">
      <c r="A10" s="3" t="s">
        <v>110</v>
      </c>
    </row>
    <row r="11" spans="1:8">
      <c r="A11" s="10" t="s">
        <v>111</v>
      </c>
      <c r="B11" s="10" t="s">
        <v>112</v>
      </c>
      <c r="C11" s="10" t="s">
        <v>113</v>
      </c>
      <c r="D11" s="10" t="s">
        <v>114</v>
      </c>
      <c r="E11" s="10" t="s">
        <v>46</v>
      </c>
      <c r="F11" s="10" t="s">
        <v>115</v>
      </c>
      <c r="G11" s="10" t="s">
        <v>116</v>
      </c>
    </row>
    <row r="12" spans="1:8">
      <c r="A12" s="12" t="s">
        <v>117</v>
      </c>
      <c r="B12" s="12" t="s">
        <v>118</v>
      </c>
      <c r="C12" s="5">
        <f>SALES_REVENUE!$D$8*0.1*0.25</f>
        <v>0</v>
      </c>
      <c r="D12" s="5">
        <f>SALES_REVENUE!$D$8*0.1*0.60</f>
        <v>0</v>
      </c>
      <c r="E12" s="5">
        <f>SALES_REVENUE!$D$8*0.1*0.15</f>
        <v>0</v>
      </c>
      <c r="F12" s="5">
        <f>SUM(C12:E12)</f>
        <v>0</v>
      </c>
      <c r="G12" s="5">
        <f>F12</f>
        <v>0</v>
      </c>
    </row>
    <row r="13" spans="1:8">
      <c r="A13" s="12" t="s">
        <v>119</v>
      </c>
      <c r="B13" s="12" t="s">
        <v>120</v>
      </c>
      <c r="C13" s="5">
        <f>SALES_REVENUE!$D$8*0.12*0.25</f>
        <v>0</v>
      </c>
      <c r="D13" s="5">
        <f>SALES_REVENUE!$D$8*0.12*0.60</f>
        <v>0</v>
      </c>
      <c r="E13" s="5">
        <f>SALES_REVENUE!$D$8*0.12*0.15</f>
        <v>0</v>
      </c>
      <c r="F13" s="5">
        <f>SUM(C13:E13)</f>
        <v>0</v>
      </c>
      <c r="G13" s="5">
        <f>G12+F13</f>
        <v>0</v>
      </c>
    </row>
    <row r="14" spans="1:8">
      <c r="A14" s="12" t="s">
        <v>121</v>
      </c>
      <c r="B14" s="12" t="s">
        <v>122</v>
      </c>
      <c r="C14" s="5">
        <f>SALES_REVENUE!$D$8*0.08*0.25</f>
        <v>0</v>
      </c>
      <c r="D14" s="5">
        <f>SALES_REVENUE!$D$8*0.08*0.60</f>
        <v>0</v>
      </c>
      <c r="E14" s="5">
        <f>SALES_REVENUE!$D$8*0.08*0.15</f>
        <v>0</v>
      </c>
      <c r="F14" s="5">
        <f>SUM(C14:E14)</f>
        <v>0</v>
      </c>
      <c r="G14" s="5">
        <f>G13+F14</f>
        <v>0</v>
      </c>
    </row>
    <row r="15" spans="1:8">
      <c r="A15" s="12" t="s">
        <v>123</v>
      </c>
      <c r="B15" s="12" t="s">
        <v>124</v>
      </c>
      <c r="C15" s="5">
        <f>SALES_REVENUE!$D$8*0.1*0.25</f>
        <v>0</v>
      </c>
      <c r="D15" s="5">
        <f>SALES_REVENUE!$D$8*0.1*0.60</f>
        <v>0</v>
      </c>
      <c r="E15" s="5">
        <f>SALES_REVENUE!$D$8*0.1*0.15</f>
        <v>0</v>
      </c>
      <c r="F15" s="5">
        <f>SUM(C15:E15)</f>
        <v>0</v>
      </c>
      <c r="G15" s="5">
        <f>G14+F15</f>
        <v>0</v>
      </c>
    </row>
    <row r="16" spans="1:8">
      <c r="A16" s="12" t="s">
        <v>125</v>
      </c>
      <c r="B16" s="12" t="s">
        <v>126</v>
      </c>
      <c r="C16" s="5">
        <f>SALES_REVENUE!$D$8*0.12*0.25</f>
        <v>0</v>
      </c>
      <c r="D16" s="5">
        <f>SALES_REVENUE!$D$8*0.12*0.60</f>
        <v>0</v>
      </c>
      <c r="E16" s="5">
        <f>SALES_REVENUE!$D$8*0.12*0.15</f>
        <v>0</v>
      </c>
      <c r="F16" s="5">
        <f>SUM(C16:E16)</f>
        <v>0</v>
      </c>
      <c r="G16" s="5">
        <f>G15+F16</f>
        <v>0</v>
      </c>
    </row>
    <row r="17" spans="1:7">
      <c r="A17" s="12" t="s">
        <v>127</v>
      </c>
      <c r="B17" s="12" t="s">
        <v>128</v>
      </c>
      <c r="C17" s="5">
        <f>SALES_REVENUE!$D$8*0.12*0.25</f>
        <v>0</v>
      </c>
      <c r="D17" s="5">
        <f>SALES_REVENUE!$D$8*0.12*0.60</f>
        <v>0</v>
      </c>
      <c r="E17" s="5">
        <f>SALES_REVENUE!$D$8*0.12*0.15</f>
        <v>0</v>
      </c>
      <c r="F17" s="5">
        <f>SUM(C17:E17)</f>
        <v>0</v>
      </c>
      <c r="G17" s="5">
        <f>G16+F17</f>
        <v>0</v>
      </c>
    </row>
    <row r="18" spans="1:7">
      <c r="A18" s="12" t="s">
        <v>129</v>
      </c>
      <c r="B18" s="12" t="s">
        <v>130</v>
      </c>
      <c r="C18" s="5">
        <f>SALES_REVENUE!$D$8*0.1*0.25</f>
        <v>0</v>
      </c>
      <c r="D18" s="5">
        <f>SALES_REVENUE!$D$8*0.1*0.60</f>
        <v>0</v>
      </c>
      <c r="E18" s="5">
        <f>SALES_REVENUE!$D$8*0.1*0.15</f>
        <v>0</v>
      </c>
      <c r="F18" s="5">
        <f>SUM(C18:E18)</f>
        <v>0</v>
      </c>
      <c r="G18" s="5">
        <f>G17+F18</f>
        <v>0</v>
      </c>
    </row>
    <row r="19" spans="1:7">
      <c r="A19" s="12" t="s">
        <v>131</v>
      </c>
      <c r="B19" s="12" t="s">
        <v>132</v>
      </c>
      <c r="C19" s="5">
        <f>SALES_REVENUE!$D$8*0.1*0.25</f>
        <v>0</v>
      </c>
      <c r="D19" s="5">
        <f>SALES_REVENUE!$D$8*0.1*0.60</f>
        <v>0</v>
      </c>
      <c r="E19" s="5">
        <f>SALES_REVENUE!$D$8*0.1*0.15</f>
        <v>0</v>
      </c>
      <c r="F19" s="5">
        <f>SUM(C19:E19)</f>
        <v>0</v>
      </c>
      <c r="G19" s="5">
        <f>G18+F19</f>
        <v>0</v>
      </c>
    </row>
    <row r="20" spans="1:7">
      <c r="A20" s="12" t="s">
        <v>133</v>
      </c>
      <c r="B20" s="12" t="s">
        <v>134</v>
      </c>
      <c r="C20" s="5">
        <f>SALES_REVENUE!$D$8*0.1*0.25</f>
        <v>0</v>
      </c>
      <c r="D20" s="5">
        <f>SALES_REVENUE!$D$8*0.1*0.60</f>
        <v>0</v>
      </c>
      <c r="E20" s="5">
        <f>SALES_REVENUE!$D$8*0.1*0.15</f>
        <v>0</v>
      </c>
      <c r="F20" s="5">
        <f>SUM(C20:E20)</f>
        <v>0</v>
      </c>
      <c r="G20" s="5">
        <f>G19+F20</f>
        <v>0</v>
      </c>
    </row>
    <row r="21" spans="1:7">
      <c r="A21" s="12" t="s">
        <v>135</v>
      </c>
      <c r="B21" s="12" t="s">
        <v>136</v>
      </c>
      <c r="C21" s="5">
        <f>SALES_REVENUE!$D$8*0.06*0.25</f>
        <v>0</v>
      </c>
      <c r="D21" s="5">
        <f>SALES_REVENUE!$D$8*0.06*0.60</f>
        <v>0</v>
      </c>
      <c r="E21" s="5">
        <f>SALES_REVENUE!$D$8*0.06*0.15</f>
        <v>0</v>
      </c>
      <c r="F21" s="5">
        <f>SUM(C21:E21)</f>
        <v>0</v>
      </c>
      <c r="G21" s="5">
        <f>G20+F21</f>
        <v>0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cols>
    <col min="1" max="1" width="14.7109375" customWidth="1"/>
    <col min="2" max="11" width="15.7109375" customWidth="1"/>
  </cols>
  <sheetData>
    <row r="1" spans="1:11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10" t="s">
        <v>111</v>
      </c>
      <c r="B3" s="10" t="s">
        <v>138</v>
      </c>
      <c r="C3" s="10" t="s">
        <v>139</v>
      </c>
      <c r="D3" s="10" t="s">
        <v>140</v>
      </c>
      <c r="E3" s="10" t="s">
        <v>141</v>
      </c>
      <c r="F3" s="10" t="s">
        <v>142</v>
      </c>
      <c r="G3" s="10" t="s">
        <v>143</v>
      </c>
      <c r="H3" s="10" t="s">
        <v>144</v>
      </c>
      <c r="I3" s="10" t="s">
        <v>145</v>
      </c>
      <c r="J3" s="10" t="s">
        <v>146</v>
      </c>
      <c r="K3" s="10" t="s">
        <v>147</v>
      </c>
    </row>
    <row r="4" spans="1:11">
      <c r="A4" s="12" t="s">
        <v>117</v>
      </c>
      <c r="B4" s="14">
        <v>46203</v>
      </c>
      <c r="C4" s="5">
        <f>SALES_REVENUE!F12</f>
        <v>0</v>
      </c>
      <c r="D4" s="5">
        <f>ASSUMPTIONS!$B$13*0.5</f>
        <v>0</v>
      </c>
      <c r="E4" s="5">
        <f>(ASSUMPTIONS!$B$16+ASSUMPTIONS!$B$18)*0.02</f>
        <v>0</v>
      </c>
      <c r="F4" s="5">
        <f>ASSUMPTIONS!$B$21*0.2</f>
        <v>0</v>
      </c>
      <c r="G4" s="5">
        <f>C4*ASSUMPTIONS!$B$50</f>
        <v>0</v>
      </c>
      <c r="H4" s="5">
        <f>ASSUMPTIONS!$B$60*0.05</f>
        <v>0</v>
      </c>
      <c r="I4" s="5">
        <f>ASSUMPTIONS!$B$60*ASSUMPTIONS!$B$46/4*0</f>
        <v>0</v>
      </c>
      <c r="J4" s="5">
        <f>C4+H4-D4-E4-F4-G4-I4</f>
        <v>0</v>
      </c>
      <c r="K4" s="5">
        <f>J4</f>
        <v>0</v>
      </c>
    </row>
    <row r="5" spans="1:11">
      <c r="A5" s="12" t="s">
        <v>119</v>
      </c>
      <c r="B5" s="14">
        <v>46295</v>
      </c>
      <c r="C5" s="5">
        <f>SALES_REVENUE!F13</f>
        <v>0</v>
      </c>
      <c r="D5" s="5">
        <f>ASSUMPTIONS!$B$13*0.3</f>
        <v>0</v>
      </c>
      <c r="E5" s="5">
        <f>(ASSUMPTIONS!$B$16+ASSUMPTIONS!$B$18)*0.05</f>
        <v>0</v>
      </c>
      <c r="F5" s="5">
        <f>ASSUMPTIONS!$B$21*0.25</f>
        <v>0</v>
      </c>
      <c r="G5" s="5">
        <f>C5*ASSUMPTIONS!$B$50</f>
        <v>0</v>
      </c>
      <c r="H5" s="5">
        <f>ASSUMPTIONS!$B$60*0.1</f>
        <v>0</v>
      </c>
      <c r="I5" s="5">
        <f>ASSUMPTIONS!$B$60*ASSUMPTIONS!$B$46/4*0</f>
        <v>0</v>
      </c>
      <c r="J5" s="5">
        <f>C5+H5-D5-E5-F5-G5-I5</f>
        <v>0</v>
      </c>
      <c r="K5" s="5">
        <f>K4+J5</f>
        <v>0</v>
      </c>
    </row>
    <row r="6" spans="1:11">
      <c r="A6" s="12" t="s">
        <v>121</v>
      </c>
      <c r="B6" s="14">
        <v>46387</v>
      </c>
      <c r="C6" s="5">
        <f>SALES_REVENUE!F14</f>
        <v>0</v>
      </c>
      <c r="D6" s="5">
        <f>ASSUMPTIONS!$B$13*0.1</f>
        <v>0</v>
      </c>
      <c r="E6" s="5">
        <f>(ASSUMPTIONS!$B$16+ASSUMPTIONS!$B$18)*0.08</f>
        <v>0</v>
      </c>
      <c r="F6" s="5">
        <f>ASSUMPTIONS!$B$21*0.2</f>
        <v>0</v>
      </c>
      <c r="G6" s="5">
        <f>C6*ASSUMPTIONS!$B$50</f>
        <v>0</v>
      </c>
      <c r="H6" s="5">
        <f>ASSUMPTIONS!$B$60*0.12</f>
        <v>0</v>
      </c>
      <c r="I6" s="5">
        <f>ASSUMPTIONS!$B$60*ASSUMPTIONS!$B$46/4*0</f>
        <v>0</v>
      </c>
      <c r="J6" s="5">
        <f>C6+H6-D6-E6-F6-G6-I6</f>
        <v>0</v>
      </c>
      <c r="K6" s="5">
        <f>K5+J6</f>
        <v>0</v>
      </c>
    </row>
    <row r="7" spans="1:11">
      <c r="A7" s="12" t="s">
        <v>123</v>
      </c>
      <c r="B7" s="14">
        <v>46477</v>
      </c>
      <c r="C7" s="5">
        <f>SALES_REVENUE!F15</f>
        <v>0</v>
      </c>
      <c r="D7" s="5">
        <f>ASSUMPTIONS!$B$13*0.05</f>
        <v>0</v>
      </c>
      <c r="E7" s="5">
        <f>(ASSUMPTIONS!$B$16+ASSUMPTIONS!$B$18)*0.1</f>
        <v>0</v>
      </c>
      <c r="F7" s="5">
        <f>ASSUMPTIONS!$B$21*0.15</f>
        <v>0</v>
      </c>
      <c r="G7" s="5">
        <f>C7*ASSUMPTIONS!$B$50</f>
        <v>0</v>
      </c>
      <c r="H7" s="5">
        <f>ASSUMPTIONS!$B$60*0.13</f>
        <v>0</v>
      </c>
      <c r="I7" s="5">
        <f>ASSUMPTIONS!$B$60*ASSUMPTIONS!$B$46/4*0</f>
        <v>0</v>
      </c>
      <c r="J7" s="5">
        <f>C7+H7-D7-E7-F7-G7-I7</f>
        <v>0</v>
      </c>
      <c r="K7" s="5">
        <f>K6+J7</f>
        <v>0</v>
      </c>
    </row>
    <row r="8" spans="1:11">
      <c r="A8" s="12" t="s">
        <v>125</v>
      </c>
      <c r="B8" s="14">
        <v>46568</v>
      </c>
      <c r="C8" s="5">
        <f>SALES_REVENUE!F16</f>
        <v>0</v>
      </c>
      <c r="D8" s="5">
        <f>ASSUMPTIONS!$B$13*0.05</f>
        <v>0</v>
      </c>
      <c r="E8" s="5">
        <f>(ASSUMPTIONS!$B$16+ASSUMPTIONS!$B$18)*0.12</f>
        <v>0</v>
      </c>
      <c r="F8" s="5">
        <f>ASSUMPTIONS!$B$21*0.1</f>
        <v>0</v>
      </c>
      <c r="G8" s="5">
        <f>C8*ASSUMPTIONS!$B$50</f>
        <v>0</v>
      </c>
      <c r="H8" s="5">
        <f>ASSUMPTIONS!$B$60*0.15</f>
        <v>0</v>
      </c>
      <c r="I8" s="5">
        <f>ASSUMPTIONS!$B$60*ASSUMPTIONS!$B$46/4*0</f>
        <v>0</v>
      </c>
      <c r="J8" s="5">
        <f>C8+H8-D8-E8-F8-G8-I8</f>
        <v>0</v>
      </c>
      <c r="K8" s="5">
        <f>K7+J8</f>
        <v>0</v>
      </c>
    </row>
    <row r="9" spans="1:11">
      <c r="A9" s="12" t="s">
        <v>127</v>
      </c>
      <c r="B9" s="14">
        <v>46660</v>
      </c>
      <c r="C9" s="5">
        <f>SALES_REVENUE!F17</f>
        <v>0</v>
      </c>
      <c r="D9" s="5">
        <f>ASSUMPTIONS!$B$13*0</f>
        <v>0</v>
      </c>
      <c r="E9" s="5">
        <f>(ASSUMPTIONS!$B$16+ASSUMPTIONS!$B$18)*0.15</f>
        <v>0</v>
      </c>
      <c r="F9" s="5">
        <f>ASSUMPTIONS!$B$21*0.05</f>
        <v>0</v>
      </c>
      <c r="G9" s="5">
        <f>C9*ASSUMPTIONS!$B$50</f>
        <v>0</v>
      </c>
      <c r="H9" s="5">
        <f>ASSUMPTIONS!$B$60*0.15</f>
        <v>0</v>
      </c>
      <c r="I9" s="5">
        <f>ASSUMPTIONS!$B$60*ASSUMPTIONS!$B$46/4*0.1</f>
        <v>0</v>
      </c>
      <c r="J9" s="5">
        <f>C9+H9-D9-E9-F9-G9-I9</f>
        <v>0</v>
      </c>
      <c r="K9" s="5">
        <f>K8+J9</f>
        <v>0</v>
      </c>
    </row>
    <row r="10" spans="1:11">
      <c r="A10" s="12" t="s">
        <v>129</v>
      </c>
      <c r="B10" s="14">
        <v>46752</v>
      </c>
      <c r="C10" s="5">
        <f>SALES_REVENUE!F18</f>
        <v>0</v>
      </c>
      <c r="D10" s="5">
        <f>ASSUMPTIONS!$B$13*0</f>
        <v>0</v>
      </c>
      <c r="E10" s="5">
        <f>(ASSUMPTIONS!$B$16+ASSUMPTIONS!$B$18)*0.15</f>
        <v>0</v>
      </c>
      <c r="F10" s="5">
        <f>ASSUMPTIONS!$B$21*0.05</f>
        <v>0</v>
      </c>
      <c r="G10" s="5">
        <f>C10*ASSUMPTIONS!$B$50</f>
        <v>0</v>
      </c>
      <c r="H10" s="5">
        <f>ASSUMPTIONS!$B$60*0.12</f>
        <v>0</v>
      </c>
      <c r="I10" s="5">
        <f>ASSUMPTIONS!$B$60*ASSUMPTIONS!$B$46/4*0.15</f>
        <v>0</v>
      </c>
      <c r="J10" s="5">
        <f>C10+H10-D10-E10-F10-G10-I10</f>
        <v>0</v>
      </c>
      <c r="K10" s="5">
        <f>K9+J10</f>
        <v>0</v>
      </c>
    </row>
    <row r="11" spans="1:11">
      <c r="A11" s="12" t="s">
        <v>131</v>
      </c>
      <c r="B11" s="14">
        <v>46843</v>
      </c>
      <c r="C11" s="5">
        <f>SALES_REVENUE!F19</f>
        <v>0</v>
      </c>
      <c r="D11" s="5">
        <f>ASSUMPTIONS!$B$13*0</f>
        <v>0</v>
      </c>
      <c r="E11" s="5">
        <f>(ASSUMPTIONS!$B$16+ASSUMPTIONS!$B$18)*0.13</f>
        <v>0</v>
      </c>
      <c r="F11" s="5">
        <f>ASSUMPTIONS!$B$21*0</f>
        <v>0</v>
      </c>
      <c r="G11" s="5">
        <f>C11*ASSUMPTIONS!$B$50</f>
        <v>0</v>
      </c>
      <c r="H11" s="5">
        <f>ASSUMPTIONS!$B$60*0.1</f>
        <v>0</v>
      </c>
      <c r="I11" s="5">
        <f>ASSUMPTIONS!$B$60*ASSUMPTIONS!$B$46/4*0.2</f>
        <v>0</v>
      </c>
      <c r="J11" s="5">
        <f>C11+H11-D11-E11-F11-G11-I11</f>
        <v>0</v>
      </c>
      <c r="K11" s="5">
        <f>K10+J11</f>
        <v>0</v>
      </c>
    </row>
    <row r="12" spans="1:11">
      <c r="A12" s="12" t="s">
        <v>133</v>
      </c>
      <c r="B12" s="14">
        <v>46934</v>
      </c>
      <c r="C12" s="5">
        <f>SALES_REVENUE!F20</f>
        <v>0</v>
      </c>
      <c r="D12" s="5">
        <f>ASSUMPTIONS!$B$13*0</f>
        <v>0</v>
      </c>
      <c r="E12" s="5">
        <f>(ASSUMPTIONS!$B$16+ASSUMPTIONS!$B$18)*0.12</f>
        <v>0</v>
      </c>
      <c r="F12" s="5">
        <f>ASSUMPTIONS!$B$21*0</f>
        <v>0</v>
      </c>
      <c r="G12" s="5">
        <f>C12*ASSUMPTIONS!$B$50</f>
        <v>0</v>
      </c>
      <c r="H12" s="5">
        <f>ASSUMPTIONS!$B$60*0.05</f>
        <v>0</v>
      </c>
      <c r="I12" s="5">
        <f>ASSUMPTIONS!$B$60*ASSUMPTIONS!$B$46/4*0.3</f>
        <v>0</v>
      </c>
      <c r="J12" s="5">
        <f>C12+H12-D12-E12-F12-G12-I12</f>
        <v>0</v>
      </c>
      <c r="K12" s="5">
        <f>K11+J12</f>
        <v>0</v>
      </c>
    </row>
    <row r="13" spans="1:11">
      <c r="A13" s="12" t="s">
        <v>135</v>
      </c>
      <c r="B13" s="14">
        <v>47026</v>
      </c>
      <c r="C13" s="5">
        <f>SALES_REVENUE!F21</f>
        <v>0</v>
      </c>
      <c r="D13" s="5">
        <f>ASSUMPTIONS!$B$13*0</f>
        <v>0</v>
      </c>
      <c r="E13" s="5">
        <f>(ASSUMPTIONS!$B$16+ASSUMPTIONS!$B$18)*0.08</f>
        <v>0</v>
      </c>
      <c r="F13" s="5">
        <f>ASSUMPTIONS!$B$21*0</f>
        <v>0</v>
      </c>
      <c r="G13" s="5">
        <f>C13*ASSUMPTIONS!$B$50</f>
        <v>0</v>
      </c>
      <c r="H13" s="5">
        <f>ASSUMPTIONS!$B$60*0.03</f>
        <v>0</v>
      </c>
      <c r="I13" s="5">
        <f>ASSUMPTIONS!$B$60*ASSUMPTIONS!$B$46/4*0.25</f>
        <v>0</v>
      </c>
      <c r="J13" s="5">
        <f>C13+H13-D13-E13-F13-G13-I13</f>
        <v>0</v>
      </c>
      <c r="K13" s="5">
        <f>K12+J13</f>
        <v>0</v>
      </c>
    </row>
    <row r="16" spans="1:11">
      <c r="A16" s="3" t="s">
        <v>148</v>
      </c>
    </row>
    <row r="17" spans="1:2">
      <c r="A17" s="11" t="s">
        <v>149</v>
      </c>
      <c r="B17" s="5">
        <f>SUM(C4:C13)</f>
        <v>0</v>
      </c>
    </row>
    <row r="18" spans="1:2">
      <c r="A18" s="11" t="s">
        <v>150</v>
      </c>
      <c r="B18" s="5">
        <f>ASSUMPTIONS!$B$59</f>
        <v>0</v>
      </c>
    </row>
    <row r="19" spans="1:2">
      <c r="A19" s="11" t="s">
        <v>151</v>
      </c>
      <c r="B19" s="5">
        <f>ASSUMPTIONS!$B$62</f>
        <v>0</v>
      </c>
    </row>
    <row r="20" spans="1:2">
      <c r="A20" s="11" t="s">
        <v>152</v>
      </c>
      <c r="B20" s="8">
        <f>ASSUMPTIONS!$B$62/ASSUMPTIONS!$B$59</f>
        <v>0</v>
      </c>
    </row>
    <row r="21" spans="1:2">
      <c r="A21" s="11" t="s">
        <v>153</v>
      </c>
      <c r="B21" s="9">
        <f>SALES_REVENUE!$D$8/ASSUMPTIONS!$B$59</f>
        <v>0</v>
      </c>
    </row>
    <row r="22" spans="1:2">
      <c r="A22" s="11" t="s">
        <v>154</v>
      </c>
      <c r="B22" s="8">
        <f>XIRR(J4:J13,B4:B13)</f>
        <v>0</v>
      </c>
    </row>
    <row r="23" spans="1:2">
      <c r="A23" s="11" t="s">
        <v>155</v>
      </c>
      <c r="B23" s="5">
        <f>NPV(ASSUMPTIONS!$B$52,J4:J13)</f>
        <v>0</v>
      </c>
    </row>
    <row r="24" spans="1:2">
      <c r="A24" s="11" t="s">
        <v>156</v>
      </c>
      <c r="B24" s="9">
        <f>AVERAGE(IF(I4:I13=0,0,(C4:C13-G4:G13)/I4:I13))</f>
        <v>0</v>
      </c>
    </row>
    <row r="25" spans="1:2">
      <c r="A25" s="11" t="s">
        <v>157</v>
      </c>
      <c r="B25" s="8">
        <f>ASSUMPTIONS!$B$60/SALES_REVENUE!$D$8</f>
        <v>0</v>
      </c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cols>
    <col min="1" max="1" width="35.7109375" customWidth="1"/>
    <col min="2" max="4" width="22.7109375" customWidth="1"/>
  </cols>
  <sheetData>
    <row r="1" spans="1:4">
      <c r="A1" s="1" t="s">
        <v>172</v>
      </c>
      <c r="B1" s="1"/>
      <c r="C1" s="1"/>
      <c r="D1" s="1"/>
    </row>
    <row r="2" spans="1:4">
      <c r="A2" s="2" t="s">
        <v>173</v>
      </c>
    </row>
    <row r="5" spans="1:4">
      <c r="A5" s="3" t="s">
        <v>174</v>
      </c>
      <c r="B5" s="3"/>
      <c r="C5" s="3"/>
      <c r="D5" s="3"/>
    </row>
    <row r="6" spans="1:4">
      <c r="A6" s="10" t="s">
        <v>175</v>
      </c>
      <c r="B6" s="10" t="s">
        <v>176</v>
      </c>
    </row>
    <row r="7" spans="1:4">
      <c r="A7" s="11" t="s">
        <v>177</v>
      </c>
      <c r="B7" s="12" t="s">
        <v>178</v>
      </c>
    </row>
    <row r="8" spans="1:4">
      <c r="A8" s="11" t="s">
        <v>179</v>
      </c>
      <c r="B8" s="12" t="s">
        <v>180</v>
      </c>
    </row>
    <row r="9" spans="1:4">
      <c r="A9" s="11" t="s">
        <v>181</v>
      </c>
      <c r="B9" s="12" t="s">
        <v>182</v>
      </c>
    </row>
    <row r="10" spans="1:4">
      <c r="A10" s="11" t="s">
        <v>183</v>
      </c>
      <c r="B10" s="9">
        <f>ASSUMPTIONS!$B$8&amp;" sq.ft"</f>
        <v>0</v>
      </c>
    </row>
    <row r="11" spans="1:4">
      <c r="A11" s="11" t="s">
        <v>184</v>
      </c>
      <c r="B11" s="9">
        <f>ASSUMPTIONS!$B$5</f>
        <v>0</v>
      </c>
    </row>
    <row r="13" spans="1:4">
      <c r="A13" s="3" t="s">
        <v>185</v>
      </c>
      <c r="B13" s="3"/>
      <c r="C13" s="3"/>
      <c r="D13" s="3"/>
    </row>
    <row r="14" spans="1:4">
      <c r="A14" s="10" t="s">
        <v>175</v>
      </c>
      <c r="B14" s="10" t="s">
        <v>176</v>
      </c>
    </row>
    <row r="15" spans="1:4">
      <c r="A15" s="11" t="s">
        <v>149</v>
      </c>
      <c r="B15" s="5">
        <f>SALES_REVENUE!$D$8</f>
        <v>0</v>
      </c>
    </row>
    <row r="16" spans="1:4">
      <c r="A16" s="11" t="s">
        <v>150</v>
      </c>
      <c r="B16" s="5">
        <f>ASSUMPTIONS!$B$59</f>
        <v>0</v>
      </c>
    </row>
    <row r="17" spans="1:4">
      <c r="A17" s="11" t="s">
        <v>140</v>
      </c>
      <c r="B17" s="5">
        <f>ASSUMPTIONS!$B$13</f>
        <v>0</v>
      </c>
    </row>
    <row r="18" spans="1:4">
      <c r="A18" s="11" t="s">
        <v>186</v>
      </c>
      <c r="B18" s="5">
        <f>ASSUMPTIONS!$B$16</f>
        <v>0</v>
      </c>
    </row>
    <row r="19" spans="1:4">
      <c r="A19" s="11" t="s">
        <v>187</v>
      </c>
      <c r="B19" s="5">
        <f>ASSUMPTIONS!$B$18</f>
        <v>0</v>
      </c>
    </row>
    <row r="20" spans="1:4">
      <c r="A20" s="11" t="s">
        <v>188</v>
      </c>
      <c r="B20" s="5">
        <f>PERMITS!$B$21</f>
        <v>0</v>
      </c>
    </row>
    <row r="21" spans="1:4">
      <c r="A21" s="11" t="s">
        <v>189</v>
      </c>
      <c r="B21" s="5">
        <f>ASSUMPTIONS!$B$62</f>
        <v>0</v>
      </c>
    </row>
    <row r="23" spans="1:4">
      <c r="A23" s="3" t="s">
        <v>190</v>
      </c>
      <c r="B23" s="3"/>
      <c r="C23" s="3"/>
      <c r="D23" s="3"/>
    </row>
    <row r="24" spans="1:4">
      <c r="A24" s="10" t="s">
        <v>175</v>
      </c>
      <c r="B24" s="10" t="s">
        <v>176</v>
      </c>
    </row>
    <row r="25" spans="1:4">
      <c r="A25" s="11" t="s">
        <v>165</v>
      </c>
      <c r="B25" s="8">
        <f>CASH_FLOW!$B$19</f>
        <v>0</v>
      </c>
    </row>
    <row r="26" spans="1:4">
      <c r="A26" s="11" t="s">
        <v>154</v>
      </c>
      <c r="B26" s="8">
        <f>CASH_FLOW!$B$21</f>
        <v>0</v>
      </c>
    </row>
    <row r="27" spans="1:4">
      <c r="A27" s="11" t="s">
        <v>153</v>
      </c>
      <c r="B27" s="9">
        <f>CASH_FLOW!$B$20</f>
        <v>0</v>
      </c>
    </row>
    <row r="28" spans="1:4">
      <c r="A28" s="11" t="s">
        <v>191</v>
      </c>
      <c r="B28" s="8">
        <f>CASH_FLOW!$B$22</f>
        <v>0</v>
      </c>
    </row>
    <row r="29" spans="1:4">
      <c r="A29" s="11" t="s">
        <v>192</v>
      </c>
      <c r="B29" s="9">
        <f>CASH_FLOW!$B$23</f>
        <v>0</v>
      </c>
    </row>
    <row r="30" spans="1:4">
      <c r="A30" s="11" t="s">
        <v>193</v>
      </c>
      <c r="B30" s="8">
        <f>CASH_FLOW!$B$24</f>
        <v>0</v>
      </c>
    </row>
    <row r="32" spans="1:4">
      <c r="A32" s="3" t="s">
        <v>194</v>
      </c>
      <c r="B32" s="3"/>
      <c r="C32" s="3"/>
      <c r="D32" s="3"/>
    </row>
    <row r="33" spans="1:4">
      <c r="A33" s="10" t="s">
        <v>175</v>
      </c>
      <c r="B33" s="10" t="s">
        <v>176</v>
      </c>
    </row>
    <row r="34" spans="1:4">
      <c r="A34" s="11" t="s">
        <v>195</v>
      </c>
      <c r="B34" s="5">
        <f>ASSUMPTIONS!$B$60</f>
        <v>0</v>
      </c>
    </row>
    <row r="35" spans="1:4">
      <c r="A35" s="11" t="s">
        <v>196</v>
      </c>
      <c r="B35" s="5">
        <f>ASSUMPTIONS!$B$61</f>
        <v>0</v>
      </c>
    </row>
    <row r="36" spans="1:4">
      <c r="A36" s="11" t="s">
        <v>197</v>
      </c>
      <c r="B36" s="8">
        <f>ASSUMPTIONS!$B$60/ASSUMPTIONS!$B$61</f>
        <v>0</v>
      </c>
    </row>
    <row r="37" spans="1:4">
      <c r="A37" s="11" t="s">
        <v>198</v>
      </c>
      <c r="B37" s="8">
        <f>ASSUMPTIONS!$B$46</f>
        <v>0</v>
      </c>
    </row>
    <row r="38" spans="1:4">
      <c r="A38" s="11" t="s">
        <v>199</v>
      </c>
      <c r="B38" s="9">
        <f>ASSUMPTIONS!$B$47&amp;" years"</f>
        <v>0</v>
      </c>
    </row>
    <row r="40" spans="1:4">
      <c r="A40" s="3" t="s">
        <v>200</v>
      </c>
      <c r="B40" s="3"/>
      <c r="C40" s="3"/>
      <c r="D40" s="3"/>
    </row>
    <row r="41" spans="1:4">
      <c r="A41" s="10" t="s">
        <v>175</v>
      </c>
      <c r="B41" s="10" t="s">
        <v>176</v>
      </c>
    </row>
    <row r="42" spans="1:4">
      <c r="A42" s="11" t="s">
        <v>73</v>
      </c>
      <c r="B42" s="9">
        <f>PERMITS!$E$4</f>
        <v>0</v>
      </c>
    </row>
    <row r="43" spans="1:4">
      <c r="A43" s="11" t="s">
        <v>75</v>
      </c>
      <c r="B43" s="9">
        <f>PERMITS!$E$5</f>
        <v>0</v>
      </c>
    </row>
    <row r="44" spans="1:4">
      <c r="A44" s="11" t="s">
        <v>76</v>
      </c>
      <c r="B44" s="9">
        <f>PERMITS!$E$6</f>
        <v>0</v>
      </c>
    </row>
    <row r="45" spans="1:4">
      <c r="A45" s="11" t="s">
        <v>201</v>
      </c>
      <c r="B45" s="9">
        <f>PERMITS!$E$7</f>
        <v>0</v>
      </c>
    </row>
    <row r="46" spans="1:4">
      <c r="A46" s="11" t="s">
        <v>202</v>
      </c>
      <c r="B46" s="9">
        <f>PERMITS!$E$8</f>
        <v>0</v>
      </c>
    </row>
    <row r="47" spans="1:4">
      <c r="A47" s="11" t="s">
        <v>203</v>
      </c>
      <c r="B47" s="9">
        <f>PERMITS!$E$9</f>
        <v>0</v>
      </c>
    </row>
    <row r="48" spans="1:4">
      <c r="A48" s="11" t="s">
        <v>204</v>
      </c>
      <c r="B48" s="5">
        <f>PERMITS!$B$21</f>
        <v>0</v>
      </c>
    </row>
    <row r="50" spans="1:4">
      <c r="A50" s="3" t="s">
        <v>205</v>
      </c>
      <c r="B50" s="3"/>
      <c r="C50" s="3"/>
      <c r="D50" s="3"/>
    </row>
    <row r="51" spans="1:4">
      <c r="A51" s="10" t="s">
        <v>175</v>
      </c>
      <c r="B51" s="10" t="s">
        <v>176</v>
      </c>
    </row>
    <row r="52" spans="1:4">
      <c r="A52" s="11" t="s">
        <v>206</v>
      </c>
      <c r="B52" s="12" t="s">
        <v>207</v>
      </c>
    </row>
    <row r="53" spans="1:4">
      <c r="A53" s="11" t="s">
        <v>208</v>
      </c>
      <c r="B53" s="5">
        <f>ASSUMPTIONS!$B$18</f>
        <v>0</v>
      </c>
    </row>
    <row r="54" spans="1:4">
      <c r="A54" s="11" t="s">
        <v>209</v>
      </c>
      <c r="B54" s="12" t="s">
        <v>210</v>
      </c>
    </row>
    <row r="55" spans="1:4">
      <c r="A55" s="11" t="s">
        <v>211</v>
      </c>
      <c r="B55" s="12" t="s">
        <v>212</v>
      </c>
    </row>
    <row r="56" spans="1:4">
      <c r="A56" s="11" t="s">
        <v>213</v>
      </c>
      <c r="B56" s="12" t="s">
        <v>214</v>
      </c>
    </row>
  </sheetData>
  <mergeCells count="7">
    <mergeCell ref="A1:D1"/>
    <mergeCell ref="A5:D5"/>
    <mergeCell ref="A13:D13"/>
    <mergeCell ref="A23:D23"/>
    <mergeCell ref="A32:D32"/>
    <mergeCell ref="A40:D40"/>
    <mergeCell ref="A50:D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ASSUMPTIONS</vt:lpstr>
      <vt:lpstr>PERMITS</vt:lpstr>
      <vt:lpstr>SOV_CONSTRUCTION</vt:lpstr>
      <vt:lpstr>SALES_REVENUE</vt:lpstr>
      <vt:lpstr>CASH_FLOW</vt:lpstr>
      <vt:lpstr>CEO_CFO_REPORT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2026-06-19T15:08:56Z</dcterms:created>
  <dcterms:modified xsi:type="dcterms:W3CDTF">2026-06-19T15:08:56Z</dcterms:modified>
</cp:coreProperties>
</file>