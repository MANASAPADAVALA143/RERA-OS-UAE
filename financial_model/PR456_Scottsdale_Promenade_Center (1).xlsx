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Summary" sheetId="1" state="visible" r:id="rId3"/>
    <sheet name="Cost Divisions (SOV)" sheetId="2" state="visible" r:id="rId4"/>
    <sheet name="Permits" sheetId="3" state="visible" r:id="rId5"/>
    <sheet name="Change Orders" sheetId="4" state="visible" r:id="rId6"/>
    <sheet name="Schedule Health" sheetId="5" state="visible" r:id="rId7"/>
    <sheet name="Compliance Center" sheetId="6" state="visible" r:id="rId8"/>
    <sheet name="Financials &amp; RO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<sst xmlns="http://schemas.openxmlformats.org/spreadsheetml/2006/main" count="307" uniqueCount="228">
  <si>
    <t xml:space="preserve">SCOTTSDALE PROMENADE CENTER</t>
  </si>
  <si>
    <t xml:space="preserve">Project No: PR456  |  Commercial Build-to-Sell  |  Scottsdale, AZ</t>
  </si>
  <si>
    <t xml:space="preserve">Description</t>
  </si>
  <si>
    <t xml:space="preserve">A 168,000 SF ground-up mixed-use retail and office development in north Scottsdale, anchored by two junior box retail tenants and a 4-story Class A office building, with structured parking and a central pedestrian plaza connecting both uses.</t>
  </si>
  <si>
    <t xml:space="preserve">Project Type</t>
  </si>
  <si>
    <t xml:space="preserve">Commercial (Retail + Office)</t>
  </si>
  <si>
    <t xml:space="preserve">Creator Role</t>
  </si>
  <si>
    <t xml:space="preserve">General Contractor</t>
  </si>
  <si>
    <t xml:space="preserve">Address</t>
  </si>
  <si>
    <t xml:space="preserve">8350 E Raintree Dr, Scottsdale, AZ 85260</t>
  </si>
  <si>
    <t xml:space="preserve">County</t>
  </si>
  <si>
    <t xml:space="preserve">Maricopa</t>
  </si>
  <si>
    <t xml:space="preserve">Total Saleable Area</t>
  </si>
  <si>
    <t xml:space="preserve">168,000 sq.ft</t>
  </si>
  <si>
    <t xml:space="preserve">Land Area</t>
  </si>
  <si>
    <t xml:space="preserve">9.2 acres</t>
  </si>
  <si>
    <t xml:space="preserve">Status</t>
  </si>
  <si>
    <t xml:space="preserve">Under Construction</t>
  </si>
  <si>
    <t xml:space="preserve">Schedule</t>
  </si>
  <si>
    <t xml:space="preserve">2025-09-15 to 2026-11-30</t>
  </si>
  <si>
    <t xml:space="preserve">Working Days</t>
  </si>
  <si>
    <t xml:space="preserve">Monday, Tuesday, Wednesday, Thursday, Friday, Saturday</t>
  </si>
  <si>
    <t xml:space="preserve">Total Contract Value</t>
  </si>
  <si>
    <t xml:space="preserve">SCHEDULE OF VALUES — CSI DIVISION COST CONTROL</t>
  </si>
  <si>
    <t xml:space="preserve">Budget vs. Actual vs. Committed, by CSI MasterFormat division | Construction cost only (excl. land/soft cost)</t>
  </si>
  <si>
    <t xml:space="preserve">Div #</t>
  </si>
  <si>
    <t xml:space="preserve">Division Name</t>
  </si>
  <si>
    <t xml:space="preserve">Contract Value</t>
  </si>
  <si>
    <t xml:space="preserve">Actual to Date</t>
  </si>
  <si>
    <t xml:space="preserve">Committed</t>
  </si>
  <si>
    <t xml:space="preserve">Total Exposure</t>
  </si>
  <si>
    <t xml:space="preserve">% Complete</t>
  </si>
  <si>
    <t xml:space="preserve">Variance</t>
  </si>
  <si>
    <t xml:space="preserve">01</t>
  </si>
  <si>
    <t xml:space="preserve">General Conditions &amp; Fee</t>
  </si>
  <si>
    <t xml:space="preserve">02</t>
  </si>
  <si>
    <t xml:space="preserve">Sitework</t>
  </si>
  <si>
    <t xml:space="preserve">03</t>
  </si>
  <si>
    <t xml:space="preserve">Concrete</t>
  </si>
  <si>
    <t xml:space="preserve">04</t>
  </si>
  <si>
    <t xml:space="preserve">Masonry and Facade Treatment</t>
  </si>
  <si>
    <t xml:space="preserve">05</t>
  </si>
  <si>
    <t xml:space="preserve">Metals / Structural Steel</t>
  </si>
  <si>
    <t xml:space="preserve">06</t>
  </si>
  <si>
    <t xml:space="preserve">Wood, Plastics and Composites</t>
  </si>
  <si>
    <t xml:space="preserve">07</t>
  </si>
  <si>
    <t xml:space="preserve">Thermal and Moisture Protection</t>
  </si>
  <si>
    <t xml:space="preserve">08</t>
  </si>
  <si>
    <t xml:space="preserve">Doors, Windows and Glazing</t>
  </si>
  <si>
    <t xml:space="preserve">09</t>
  </si>
  <si>
    <t xml:space="preserve">Finishes</t>
  </si>
  <si>
    <t xml:space="preserve">10</t>
  </si>
  <si>
    <t xml:space="preserve">Specialties</t>
  </si>
  <si>
    <t xml:space="preserve">14</t>
  </si>
  <si>
    <t xml:space="preserve">Conveying Systems (Elevators/Escalators)</t>
  </si>
  <si>
    <t xml:space="preserve">21</t>
  </si>
  <si>
    <t xml:space="preserve">Fire Suppression</t>
  </si>
  <si>
    <t xml:space="preserve">22</t>
  </si>
  <si>
    <t xml:space="preserve">Plumbing</t>
  </si>
  <si>
    <t xml:space="preserve">23</t>
  </si>
  <si>
    <t xml:space="preserve">HVAC / Mechanical</t>
  </si>
  <si>
    <t xml:space="preserve">26</t>
  </si>
  <si>
    <t xml:space="preserve">Electrical</t>
  </si>
  <si>
    <t xml:space="preserve">31</t>
  </si>
  <si>
    <t xml:space="preserve">Earthwork</t>
  </si>
  <si>
    <t xml:space="preserve">32</t>
  </si>
  <si>
    <t xml:space="preserve">Exterior Improvements / Parking &amp; Landscaping</t>
  </si>
  <si>
    <t xml:space="preserve">TOTAL</t>
  </si>
  <si>
    <t xml:space="preserve">PERMITS &amp; APPROVALS</t>
  </si>
  <si>
    <t xml:space="preserve">Status as of June 20, 2026</t>
  </si>
  <si>
    <t xml:space="preserve">Permit Type</t>
  </si>
  <si>
    <t xml:space="preserve">Issuing Authority</t>
  </si>
  <si>
    <t xml:space="preserve">Budgeted Cost</t>
  </si>
  <si>
    <t xml:space="preserve">Target Date</t>
  </si>
  <si>
    <t xml:space="preserve">Actual Date</t>
  </si>
  <si>
    <t xml:space="preserve">Blocking</t>
  </si>
  <si>
    <t xml:space="preserve">Notes</t>
  </si>
  <si>
    <t xml:space="preserve">Grading Permit</t>
  </si>
  <si>
    <t xml:space="preserve">City of Scottsdale - Development Services</t>
  </si>
  <si>
    <t xml:space="preserve">Approved</t>
  </si>
  <si>
    <t xml:space="preserve">2025-10-01</t>
  </si>
  <si>
    <t xml:space="preserve">2025-09-28</t>
  </si>
  <si>
    <t xml:space="preserve">Yes</t>
  </si>
  <si>
    <t xml:space="preserve">Approved ahead of schedule.</t>
  </si>
  <si>
    <t xml:space="preserve">Building Permit</t>
  </si>
  <si>
    <t xml:space="preserve">City of Scottsdale - Building Safety Division</t>
  </si>
  <si>
    <t xml:space="preserve">2025-12-01</t>
  </si>
  <si>
    <t xml:space="preserve">2025-12-19</t>
  </si>
  <si>
    <t xml:space="preserve">Plan revision cycle added 3 weeks.</t>
  </si>
  <si>
    <t xml:space="preserve">Fire Department Approval</t>
  </si>
  <si>
    <t xml:space="preserve">Scottsdale Fire Department</t>
  </si>
  <si>
    <t xml:space="preserve">Under Review</t>
  </si>
  <si>
    <t xml:space="preserve">2026-05-20</t>
  </si>
  <si>
    <t xml:space="preserve">—</t>
  </si>
  <si>
    <t xml:space="preserve">Sprinkler layout resubmittal requested.</t>
  </si>
  <si>
    <t xml:space="preserve">Electrical Permit</t>
  </si>
  <si>
    <t xml:space="preserve">Revisions Requested</t>
  </si>
  <si>
    <t xml:space="preserve">2026-04-30</t>
  </si>
  <si>
    <t xml:space="preserve">No</t>
  </si>
  <si>
    <t xml:space="preserve">Service entrance size revision requested by reviewer.</t>
  </si>
  <si>
    <t xml:space="preserve">Mechanical Hvac Permit</t>
  </si>
  <si>
    <t xml:space="preserve">Submitted</t>
  </si>
  <si>
    <t xml:space="preserve">2026-06-10</t>
  </si>
  <si>
    <t xml:space="preserve">Equipment cut sheets pending from mech sub.</t>
  </si>
  <si>
    <t xml:space="preserve">Water Connection</t>
  </si>
  <si>
    <t xml:space="preserve">City of Scottsdale Water Resources</t>
  </si>
  <si>
    <t xml:space="preserve">2026-05-25</t>
  </si>
  <si>
    <t xml:space="preserve">Tap fee invoice pending; inspection not yet scheduled.</t>
  </si>
  <si>
    <t xml:space="preserve">Sign Permit</t>
  </si>
  <si>
    <t xml:space="preserve">Not Started</t>
  </si>
  <si>
    <t xml:space="preserve">2026-08-01</t>
  </si>
  <si>
    <t xml:space="preserve">Monument sign package to be submitted post-tenant lease-up.</t>
  </si>
  <si>
    <t xml:space="preserve">Certificate Of Occupancy</t>
  </si>
  <si>
    <t xml:space="preserve">2026-11-15</t>
  </si>
  <si>
    <t xml:space="preserve">Final inspection requires all trades substantially complete.</t>
  </si>
  <si>
    <t xml:space="preserve">Elevator Permit</t>
  </si>
  <si>
    <t xml:space="preserve">Arizona Department of Building &amp; Fire Safety</t>
  </si>
  <si>
    <t xml:space="preserve">2026-09-15</t>
  </si>
  <si>
    <t xml:space="preserve">Filed once elevator equipment is on site.</t>
  </si>
  <si>
    <t xml:space="preserve">⚠ 2 permit(s) at risk (blocking + overdue):</t>
  </si>
  <si>
    <t xml:space="preserve">  • Fire Department Approval — 31 days overdue</t>
  </si>
  <si>
    <t xml:space="preserve">  • Water Connection — 26 days overdue</t>
  </si>
  <si>
    <t xml:space="preserve">CHANGE ORDER TRACKING</t>
  </si>
  <si>
    <t xml:space="preserve">Summary of cost and schedule changes to date</t>
  </si>
  <si>
    <t xml:space="preserve">CR #</t>
  </si>
  <si>
    <t xml:space="preserve">Cost Impact</t>
  </si>
  <si>
    <t xml:space="preserve">Schedule Impact</t>
  </si>
  <si>
    <t xml:space="preserve">Due Date</t>
  </si>
  <si>
    <t xml:space="preserve">Requested By</t>
  </si>
  <si>
    <t xml:space="preserve">Created Date</t>
  </si>
  <si>
    <t xml:space="preserve">CR-001</t>
  </si>
  <si>
    <t xml:space="preserve">Curtain wall glazing upgrade per ownership request (impact glass spec change)</t>
  </si>
  <si>
    <t xml:space="preserve">Signed</t>
  </si>
  <si>
    <t xml:space="preserve">0 days</t>
  </si>
  <si>
    <t xml:space="preserve">2026-02-15</t>
  </si>
  <si>
    <t xml:space="preserve">Ownership Rep - Promenade Holdings LLC</t>
  </si>
  <si>
    <t xml:space="preserve">2026-01-20</t>
  </si>
  <si>
    <t xml:space="preserve">CR-002</t>
  </si>
  <si>
    <t xml:space="preserve">Revised electrical service entrance size per utility coordination</t>
  </si>
  <si>
    <t xml:space="preserve">Approval Pending</t>
  </si>
  <si>
    <t xml:space="preserve">7 days</t>
  </si>
  <si>
    <t xml:space="preserve">2026-06-30</t>
  </si>
  <si>
    <t xml:space="preserve">Matt Hefner, Project Manager</t>
  </si>
  <si>
    <t xml:space="preserve">CR-003</t>
  </si>
  <si>
    <t xml:space="preserve">Unforeseen rock excavation in northeast parking area, geotechnical addendum</t>
  </si>
  <si>
    <t xml:space="preserve">5 days</t>
  </si>
  <si>
    <t xml:space="preserve">2026-07-10</t>
  </si>
  <si>
    <t xml:space="preserve">2026-06-12</t>
  </si>
  <si>
    <t xml:space="preserve">CR-004</t>
  </si>
  <si>
    <t xml:space="preserve">Tenant-driven HVAC zoning revision for anchor retail suite</t>
  </si>
  <si>
    <t xml:space="preserve">Draft</t>
  </si>
  <si>
    <t xml:space="preserve">Leasing Coordinator</t>
  </si>
  <si>
    <t xml:space="preserve">2026-06-18</t>
  </si>
  <si>
    <t xml:space="preserve">Pending Cost Exposure:</t>
  </si>
  <si>
    <t xml:space="preserve">Approved Cost Impact:</t>
  </si>
  <si>
    <t xml:space="preserve">SCHEDULE HEALTH — LATE TASKS</t>
  </si>
  <si>
    <t xml:space="preserve">6 tracked tasks, 5 late, max 42 days late</t>
  </si>
  <si>
    <t xml:space="preserve">Task</t>
  </si>
  <si>
    <t xml:space="preserve">Planned Start</t>
  </si>
  <si>
    <t xml:space="preserve">Planned End</t>
  </si>
  <si>
    <t xml:space="preserve">Actual Start</t>
  </si>
  <si>
    <t xml:space="preserve">Actual End</t>
  </si>
  <si>
    <t xml:space="preserve">Days Late</t>
  </si>
  <si>
    <t xml:space="preserve">Main electrical switchgear delivery and set</t>
  </si>
  <si>
    <t xml:space="preserve">2026-05-01</t>
  </si>
  <si>
    <t xml:space="preserve">2026-05-10</t>
  </si>
  <si>
    <t xml:space="preserve">Rooftop HVAC equipment set (RTUs)</t>
  </si>
  <si>
    <t xml:space="preserve">2026-04-20</t>
  </si>
  <si>
    <t xml:space="preserve">2026-05-15</t>
  </si>
  <si>
    <t xml:space="preserve">Furnish and install curtain wall glazing system</t>
  </si>
  <si>
    <t xml:space="preserve">2026-04-06</t>
  </si>
  <si>
    <t xml:space="preserve">2026-05-04</t>
  </si>
  <si>
    <t xml:space="preserve">2026-04-29</t>
  </si>
  <si>
    <t xml:space="preserve">Elevator equipment delivery</t>
  </si>
  <si>
    <t xml:space="preserve">2026-06-01</t>
  </si>
  <si>
    <t xml:space="preserve">2026-06-15</t>
  </si>
  <si>
    <t xml:space="preserve">Interior framing - Building B tenant spaces</t>
  </si>
  <si>
    <t xml:space="preserve">2026-05-22</t>
  </si>
  <si>
    <t xml:space="preserve">Site concrete - parking structure deck pour</t>
  </si>
  <si>
    <t xml:space="preserve">2026-01-10</t>
  </si>
  <si>
    <t xml:space="preserve">2026-01-25</t>
  </si>
  <si>
    <t xml:space="preserve">VENDOR COMPLIANCE CENTER</t>
  </si>
  <si>
    <t xml:space="preserve">Missing or expired vendor documentation</t>
  </si>
  <si>
    <t xml:space="preserve">Vendor</t>
  </si>
  <si>
    <t xml:space="preserve">Document Type</t>
  </si>
  <si>
    <t xml:space="preserve">Expiration Date</t>
  </si>
  <si>
    <t xml:space="preserve">Sonoran Steel Erectors LLC</t>
  </si>
  <si>
    <t xml:space="preserve">Certificate Of Insurance</t>
  </si>
  <si>
    <t xml:space="preserve">2026-12-01</t>
  </si>
  <si>
    <t xml:space="preserve">License</t>
  </si>
  <si>
    <t xml:space="preserve">2027-03-15</t>
  </si>
  <si>
    <t xml:space="preserve">Desert Mechanical Systems Inc</t>
  </si>
  <si>
    <t xml:space="preserve">Expired</t>
  </si>
  <si>
    <t xml:space="preserve">Safety</t>
  </si>
  <si>
    <t xml:space="preserve">Missing</t>
  </si>
  <si>
    <t xml:space="preserve">Valley Electrical Contractors</t>
  </si>
  <si>
    <t xml:space="preserve">W9</t>
  </si>
  <si>
    <t xml:space="preserve">2026-08-20</t>
  </si>
  <si>
    <t xml:space="preserve">Apex Glazing &amp; Curtain Wall</t>
  </si>
  <si>
    <t xml:space="preserve">Cactus Concrete &amp; Excavation</t>
  </si>
  <si>
    <t xml:space="preserve">2026-09-01</t>
  </si>
  <si>
    <t xml:space="preserve">REALIZED CASH POSITION &amp; PROJECT ROI</t>
  </si>
  <si>
    <t xml:space="preserve">Cash basis (Financial Progress) and underwritten return summary (forward-sale exit)</t>
  </si>
  <si>
    <t xml:space="preserve">REALIZED CASH POSITION (Cash Basis)</t>
  </si>
  <si>
    <t xml:space="preserve">Period</t>
  </si>
  <si>
    <t xml:space="preserve">2026-01-01 to 2026-06-20</t>
  </si>
  <si>
    <t xml:space="preserve">Received from Owner</t>
  </si>
  <si>
    <t xml:space="preserve">Construction loan + equity draws received</t>
  </si>
  <si>
    <t xml:space="preserve">Paid to Subcontractors</t>
  </si>
  <si>
    <t xml:space="preserve">Other Expenses (GC overhead, permits, insurance)</t>
  </si>
  <si>
    <t xml:space="preserve">Net Realized Cash</t>
  </si>
  <si>
    <t xml:space="preserve">Retainage Held (from Subcontractors)</t>
  </si>
  <si>
    <t xml:space="preserve">Retainage Receivable (held by Owner)</t>
  </si>
  <si>
    <t xml:space="preserve">PROJECT ROI SUMMARY (Underwritten — Forward Sale Exit)</t>
  </si>
  <si>
    <t xml:space="preserve">Total Project Cost (Land + Construction + Soft Cost + Contingency)</t>
  </si>
  <si>
    <t xml:space="preserve">Equity Invested (40%)</t>
  </si>
  <si>
    <t xml:space="preserve">Debt Drawn (60%)</t>
  </si>
  <si>
    <t xml:space="preserve">Interest Rate (Annual)</t>
  </si>
  <si>
    <t xml:space="preserve">Construction Duration (months)</t>
  </si>
  <si>
    <t xml:space="preserve">Interest During Construction (estimated)</t>
  </si>
  <si>
    <t xml:space="preserve">Stabilized NOI (post lease-up)</t>
  </si>
  <si>
    <t xml:space="preserve">Exit Cap Rate (Scottsdale Class A, 2026E)</t>
  </si>
  <si>
    <t xml:space="preserve">Exit Value (Stabilized NOI / Exit Cap Rate)</t>
  </si>
  <si>
    <t xml:space="preserve">Selling Costs (2.5% of Exit Value)</t>
  </si>
  <si>
    <t xml:space="preserve">Net Sale Proceeds (Exit Value − Selling Costs − Debt Payoff)</t>
  </si>
  <si>
    <t xml:space="preserve">Net Profit to Equity</t>
  </si>
  <si>
    <t xml:space="preserve">ROI (Net Profit ÷ Equity Invested)</t>
  </si>
  <si>
    <t xml:space="preserve">MOIC (Net Sale Proceeds ÷ Equity Invested)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</si>
</sst>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"/>
    <numFmt numFmtId="166" formatCode="0.0%;\(0.0%\)"/>
    <numFmt numFmtId="167" formatCode="0"/>
    <numFmt numFmtId="168" formatCode="0.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3B3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9"/>
      <color rgb="FFB33A3A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E3B36"/>
        <bgColor rgb="FF003300"/>
      </patternFill>
    </fill>
    <fill>
      <patternFill patternType="solid">
        <fgColor rgb="FFD9E9E6"/>
        <bgColor rgb="FFE0E0E0"/>
      </patternFill>
    </fill>
    <fill>
      <patternFill patternType="solid">
        <fgColor rgb="FFC6E0B4"/>
        <bgColor rgb="FFE0E0E0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E0E0E0"/>
        <bgColor rgb="FFD9E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88888"/>
      <rgbColor rgb="FF9999FF"/>
      <rgbColor rgb="FFB33A3A"/>
      <rgbColor rgb="FFFFFFCC"/>
      <rgbColor rgb="FFD9E9E6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E3B3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4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0" hidden="false" customHeight="tru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23.85" hidden="false" customHeight="false" outlineLevel="0" collapsed="false">
      <c r="A13" s="3" t="s">
        <v>20</v>
      </c>
      <c r="B13" s="4" t="s">
        <v>21</v>
      </c>
    </row>
    <row r="14" customFormat="false" ht="15" hidden="false" customHeight="false" outlineLevel="0" collapsed="false">
      <c r="A14" s="3" t="s">
        <v>22</v>
      </c>
      <c r="B14" s="5" t="n">
        <v>62732000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16</v>
      </c>
    </row>
    <row r="5" customFormat="false" ht="15" hidden="false" customHeight="false" outlineLevel="0" collapsed="false">
      <c r="A5" s="7" t="s">
        <v>33</v>
      </c>
      <c r="B5" s="7" t="s">
        <v>34</v>
      </c>
      <c r="C5" s="8" t="n">
        <v>1568200</v>
      </c>
      <c r="D5" s="8" t="n">
        <v>1393300</v>
      </c>
      <c r="E5" s="8" t="n">
        <v>193600</v>
      </c>
      <c r="F5" s="9" t="n">
        <f aca="false">D5+E5</f>
        <v>1586900</v>
      </c>
      <c r="G5" s="10" t="n">
        <v>0.878</v>
      </c>
      <c r="H5" s="9" t="n">
        <f aca="false">C5-F5</f>
        <v>-18700</v>
      </c>
      <c r="I5" s="11" t="str">
        <f aca="false">IF((C5-F5)/C5&gt;=-0.05,"On Track",IF((C5-F5)/C5&gt;=-0.1,"Watch","Over Budget"))</f>
        <v>On Track</v>
      </c>
    </row>
    <row r="6" customFormat="false" ht="15" hidden="false" customHeight="false" outlineLevel="0" collapsed="false">
      <c r="A6" s="7" t="s">
        <v>35</v>
      </c>
      <c r="B6" s="7" t="s">
        <v>36</v>
      </c>
      <c r="C6" s="8" t="n">
        <v>2156800</v>
      </c>
      <c r="D6" s="8" t="n">
        <v>2064000</v>
      </c>
      <c r="E6" s="8" t="n">
        <v>138800</v>
      </c>
      <c r="F6" s="9" t="n">
        <f aca="false">D6+E6</f>
        <v>2202800</v>
      </c>
      <c r="G6" s="10" t="n">
        <v>0.937</v>
      </c>
      <c r="H6" s="9" t="n">
        <f aca="false">C6-F6</f>
        <v>-46000</v>
      </c>
      <c r="I6" s="11" t="str">
        <f aca="false">IF((C6-F6)/C6&gt;=-0.05,"On Track",IF((C6-F6)/C6&gt;=-0.1,"Watch","Over Budget"))</f>
        <v>On Track</v>
      </c>
    </row>
    <row r="7" customFormat="false" ht="15" hidden="false" customHeight="false" outlineLevel="0" collapsed="false">
      <c r="A7" s="7" t="s">
        <v>37</v>
      </c>
      <c r="B7" s="7" t="s">
        <v>38</v>
      </c>
      <c r="C7" s="8" t="n">
        <v>4704600</v>
      </c>
      <c r="D7" s="8" t="n">
        <v>4655800</v>
      </c>
      <c r="E7" s="8" t="n">
        <v>426900</v>
      </c>
      <c r="F7" s="9" t="n">
        <f aca="false">D7+E7</f>
        <v>5082700</v>
      </c>
      <c r="G7" s="10" t="n">
        <v>0.916</v>
      </c>
      <c r="H7" s="9" t="n">
        <f aca="false">C7-F7</f>
        <v>-378100</v>
      </c>
      <c r="I7" s="11" t="str">
        <f aca="false">IF((C7-F7)/C7&gt;=-0.05,"On Track",IF((C7-F7)/C7&gt;=-0.1,"Watch","Over Budget"))</f>
        <v>Watch</v>
      </c>
    </row>
    <row r="8" customFormat="false" ht="15" hidden="false" customHeight="false" outlineLevel="0" collapsed="false">
      <c r="A8" s="7" t="s">
        <v>39</v>
      </c>
      <c r="B8" s="7" t="s">
        <v>40</v>
      </c>
      <c r="C8" s="8" t="n">
        <v>2745400</v>
      </c>
      <c r="D8" s="8" t="n">
        <v>2208300</v>
      </c>
      <c r="E8" s="8" t="n">
        <v>452300</v>
      </c>
      <c r="F8" s="9" t="n">
        <f aca="false">D8+E8</f>
        <v>2660600</v>
      </c>
      <c r="G8" s="10" t="n">
        <v>0.83</v>
      </c>
      <c r="H8" s="9" t="n">
        <f aca="false">C8-F8</f>
        <v>84800</v>
      </c>
      <c r="I8" s="11" t="str">
        <f aca="false">IF((C8-F8)/C8&gt;=-0.05,"On Track",IF((C8-F8)/C8&gt;=-0.1,"Watch","Over Budget"))</f>
        <v>On Track</v>
      </c>
    </row>
    <row r="9" customFormat="false" ht="15" hidden="false" customHeight="false" outlineLevel="0" collapsed="false">
      <c r="A9" s="7" t="s">
        <v>41</v>
      </c>
      <c r="B9" s="7" t="s">
        <v>42</v>
      </c>
      <c r="C9" s="8" t="n">
        <v>4116000</v>
      </c>
      <c r="D9" s="8" t="n">
        <v>3328900</v>
      </c>
      <c r="E9" s="8" t="n">
        <v>696400</v>
      </c>
      <c r="F9" s="9" t="n">
        <f aca="false">D9+E9</f>
        <v>4025300</v>
      </c>
      <c r="G9" s="10" t="n">
        <v>0.827</v>
      </c>
      <c r="H9" s="9" t="n">
        <f aca="false">C9-F9</f>
        <v>90700</v>
      </c>
      <c r="I9" s="11" t="str">
        <f aca="false">IF((C9-F9)/C9&gt;=-0.05,"On Track",IF((C9-F9)/C9&gt;=-0.1,"Watch","Over Budget"))</f>
        <v>On Track</v>
      </c>
    </row>
    <row r="10" customFormat="false" ht="15" hidden="false" customHeight="false" outlineLevel="0" collapsed="false">
      <c r="A10" s="7" t="s">
        <v>43</v>
      </c>
      <c r="B10" s="7" t="s">
        <v>44</v>
      </c>
      <c r="C10" s="8" t="n">
        <v>782000</v>
      </c>
      <c r="D10" s="8" t="n">
        <v>376900</v>
      </c>
      <c r="E10" s="8" t="n">
        <v>420000</v>
      </c>
      <c r="F10" s="9" t="n">
        <f aca="false">D10+E10</f>
        <v>796900</v>
      </c>
      <c r="G10" s="10" t="n">
        <v>0.473</v>
      </c>
      <c r="H10" s="9" t="n">
        <f aca="false">C10-F10</f>
        <v>-14900</v>
      </c>
      <c r="I10" s="11" t="str">
        <f aca="false">IF((C10-F10)/C10&gt;=-0.05,"On Track",IF((C10-F10)/C10&gt;=-0.1,"Watch","Over Budget"))</f>
        <v>On Track</v>
      </c>
    </row>
    <row r="11" customFormat="false" ht="15" hidden="false" customHeight="false" outlineLevel="0" collapsed="false">
      <c r="A11" s="7" t="s">
        <v>45</v>
      </c>
      <c r="B11" s="7" t="s">
        <v>46</v>
      </c>
      <c r="C11" s="8" t="n">
        <v>2156800</v>
      </c>
      <c r="D11" s="8" t="n">
        <v>1184400</v>
      </c>
      <c r="E11" s="8" t="n">
        <v>823100</v>
      </c>
      <c r="F11" s="9" t="n">
        <f aca="false">D11+E11</f>
        <v>2007500</v>
      </c>
      <c r="G11" s="10" t="n">
        <v>0.59</v>
      </c>
      <c r="H11" s="9" t="n">
        <f aca="false">C11-F11</f>
        <v>149300</v>
      </c>
      <c r="I11" s="11" t="str">
        <f aca="false">IF((C11-F11)/C11&gt;=-0.05,"On Track",IF((C11-F11)/C11&gt;=-0.1,"Watch","Over Budget"))</f>
        <v>On Track</v>
      </c>
    </row>
    <row r="12" customFormat="false" ht="15" hidden="false" customHeight="false" outlineLevel="0" collapsed="false">
      <c r="A12" s="7" t="s">
        <v>47</v>
      </c>
      <c r="B12" s="7" t="s">
        <v>48</v>
      </c>
      <c r="C12" s="8" t="n">
        <v>3136400</v>
      </c>
      <c r="D12" s="8" t="n">
        <v>1844400</v>
      </c>
      <c r="E12" s="8" t="n">
        <v>1912000</v>
      </c>
      <c r="F12" s="9" t="n">
        <f aca="false">D12+E12</f>
        <v>3756400</v>
      </c>
      <c r="G12" s="10" t="n">
        <v>0.491</v>
      </c>
      <c r="H12" s="9" t="n">
        <f aca="false">C12-F12</f>
        <v>-620000</v>
      </c>
      <c r="I12" s="11" t="str">
        <f aca="false">IF((C12-F12)/C12&gt;=-0.05,"On Track",IF((C12-F12)/C12&gt;=-0.1,"Watch","Over Budget"))</f>
        <v>Over Budget</v>
      </c>
    </row>
    <row r="13" customFormat="false" ht="15" hidden="false" customHeight="false" outlineLevel="0" collapsed="false">
      <c r="A13" s="7" t="s">
        <v>49</v>
      </c>
      <c r="B13" s="7" t="s">
        <v>50</v>
      </c>
      <c r="C13" s="8" t="n">
        <v>3527400</v>
      </c>
      <c r="D13" s="8" t="n">
        <v>2123500</v>
      </c>
      <c r="E13" s="8" t="n">
        <v>1108600</v>
      </c>
      <c r="F13" s="9" t="n">
        <f aca="false">D13+E13</f>
        <v>3232100</v>
      </c>
      <c r="G13" s="10" t="n">
        <v>0.657</v>
      </c>
      <c r="H13" s="9" t="n">
        <f aca="false">C13-F13</f>
        <v>295300</v>
      </c>
      <c r="I13" s="11" t="str">
        <f aca="false">IF((C13-F13)/C13&gt;=-0.05,"On Track",IF((C13-F13)/C13&gt;=-0.1,"Watch","Over Budget"))</f>
        <v>On Track</v>
      </c>
    </row>
    <row r="14" customFormat="false" ht="15" hidden="false" customHeight="false" outlineLevel="0" collapsed="false">
      <c r="A14" s="7" t="s">
        <v>51</v>
      </c>
      <c r="B14" s="7" t="s">
        <v>52</v>
      </c>
      <c r="C14" s="8" t="n">
        <v>588600</v>
      </c>
      <c r="D14" s="8" t="n">
        <v>169400</v>
      </c>
      <c r="E14" s="8" t="n">
        <v>408800</v>
      </c>
      <c r="F14" s="9" t="n">
        <f aca="false">D14+E14</f>
        <v>578200</v>
      </c>
      <c r="G14" s="10" t="n">
        <v>0.293</v>
      </c>
      <c r="H14" s="9" t="n">
        <f aca="false">C14-F14</f>
        <v>10400</v>
      </c>
      <c r="I14" s="11" t="str">
        <f aca="false">IF((C14-F14)/C14&gt;=-0.05,"On Track",IF((C14-F14)/C14&gt;=-0.1,"Watch","Over Budget"))</f>
        <v>On Track</v>
      </c>
    </row>
    <row r="15" customFormat="false" ht="15" hidden="false" customHeight="false" outlineLevel="0" collapsed="false">
      <c r="A15" s="7" t="s">
        <v>53</v>
      </c>
      <c r="B15" s="7" t="s">
        <v>54</v>
      </c>
      <c r="C15" s="8" t="n">
        <v>1370600</v>
      </c>
      <c r="D15" s="8" t="n">
        <v>1084000</v>
      </c>
      <c r="E15" s="8" t="n">
        <v>320100</v>
      </c>
      <c r="F15" s="9" t="n">
        <f aca="false">D15+E15</f>
        <v>1404100</v>
      </c>
      <c r="G15" s="10" t="n">
        <v>0.772</v>
      </c>
      <c r="H15" s="9" t="n">
        <f aca="false">C15-F15</f>
        <v>-33500</v>
      </c>
      <c r="I15" s="11" t="str">
        <f aca="false">IF((C15-F15)/C15&gt;=-0.05,"On Track",IF((C15-F15)/C15&gt;=-0.1,"Watch","Over Budget"))</f>
        <v>On Track</v>
      </c>
    </row>
    <row r="16" customFormat="false" ht="15" hidden="false" customHeight="false" outlineLevel="0" collapsed="false">
      <c r="A16" s="7" t="s">
        <v>55</v>
      </c>
      <c r="B16" s="7" t="s">
        <v>56</v>
      </c>
      <c r="C16" s="8" t="n">
        <v>979600</v>
      </c>
      <c r="D16" s="8" t="n">
        <v>368500</v>
      </c>
      <c r="E16" s="8" t="n">
        <v>606400</v>
      </c>
      <c r="F16" s="9" t="n">
        <f aca="false">D16+E16</f>
        <v>974900</v>
      </c>
      <c r="G16" s="10" t="n">
        <v>0.378</v>
      </c>
      <c r="H16" s="9" t="n">
        <f aca="false">C16-F16</f>
        <v>4700</v>
      </c>
      <c r="I16" s="11" t="str">
        <f aca="false">IF((C16-F16)/C16&gt;=-0.05,"On Track",IF((C16-F16)/C16&gt;=-0.1,"Watch","Over Budget"))</f>
        <v>On Track</v>
      </c>
    </row>
    <row r="17" customFormat="false" ht="15" hidden="false" customHeight="false" outlineLevel="0" collapsed="false">
      <c r="A17" s="7" t="s">
        <v>57</v>
      </c>
      <c r="B17" s="7" t="s">
        <v>58</v>
      </c>
      <c r="C17" s="8" t="n">
        <v>2350200</v>
      </c>
      <c r="D17" s="8" t="n">
        <v>389200</v>
      </c>
      <c r="E17" s="8" t="n">
        <v>1998300</v>
      </c>
      <c r="F17" s="9" t="n">
        <f aca="false">D17+E17</f>
        <v>2387500</v>
      </c>
      <c r="G17" s="10" t="n">
        <v>0.163</v>
      </c>
      <c r="H17" s="9" t="n">
        <f aca="false">C17-F17</f>
        <v>-37300</v>
      </c>
      <c r="I17" s="11" t="str">
        <f aca="false">IF((C17-F17)/C17&gt;=-0.05,"On Track",IF((C17-F17)/C17&gt;=-0.1,"Watch","Over Budget"))</f>
        <v>On Track</v>
      </c>
    </row>
    <row r="18" customFormat="false" ht="15" hidden="false" customHeight="false" outlineLevel="0" collapsed="false">
      <c r="A18" s="7" t="s">
        <v>59</v>
      </c>
      <c r="B18" s="7" t="s">
        <v>60</v>
      </c>
      <c r="C18" s="8" t="n">
        <v>4507000</v>
      </c>
      <c r="D18" s="8" t="n">
        <v>1092800</v>
      </c>
      <c r="E18" s="8" t="n">
        <v>4037900</v>
      </c>
      <c r="F18" s="9" t="n">
        <f aca="false">D18+E18</f>
        <v>5130700</v>
      </c>
      <c r="G18" s="10" t="n">
        <v>0.213</v>
      </c>
      <c r="H18" s="9" t="n">
        <f aca="false">C18-F18</f>
        <v>-623700</v>
      </c>
      <c r="I18" s="11" t="str">
        <f aca="false">IF((C18-F18)/C18&gt;=-0.05,"On Track",IF((C18-F18)/C18&gt;=-0.1,"Watch","Over Budget"))</f>
        <v>Over Budget</v>
      </c>
    </row>
    <row r="19" customFormat="false" ht="15" hidden="false" customHeight="false" outlineLevel="0" collapsed="false">
      <c r="A19" s="7" t="s">
        <v>61</v>
      </c>
      <c r="B19" s="7" t="s">
        <v>62</v>
      </c>
      <c r="C19" s="8" t="n">
        <v>3725000</v>
      </c>
      <c r="D19" s="8" t="n">
        <v>694600</v>
      </c>
      <c r="E19" s="8" t="n">
        <v>3297600</v>
      </c>
      <c r="F19" s="9" t="n">
        <f aca="false">D19+E19</f>
        <v>3992200</v>
      </c>
      <c r="G19" s="10" t="n">
        <v>0.174</v>
      </c>
      <c r="H19" s="9" t="n">
        <f aca="false">C19-F19</f>
        <v>-267200</v>
      </c>
      <c r="I19" s="11" t="str">
        <f aca="false">IF((C19-F19)/C19&gt;=-0.05,"On Track",IF((C19-F19)/C19&gt;=-0.1,"Watch","Over Budget"))</f>
        <v>Watch</v>
      </c>
    </row>
    <row r="20" customFormat="false" ht="15" hidden="false" customHeight="false" outlineLevel="0" collapsed="false">
      <c r="A20" s="7" t="s">
        <v>63</v>
      </c>
      <c r="B20" s="7" t="s">
        <v>64</v>
      </c>
      <c r="C20" s="8" t="n">
        <v>1177200</v>
      </c>
      <c r="D20" s="8" t="n">
        <v>1084500</v>
      </c>
      <c r="E20" s="8" t="n">
        <v>75400</v>
      </c>
      <c r="F20" s="9" t="n">
        <f aca="false">D20+E20</f>
        <v>1159900</v>
      </c>
      <c r="G20" s="10" t="n">
        <v>0.935</v>
      </c>
      <c r="H20" s="9" t="n">
        <f aca="false">C20-F20</f>
        <v>17300</v>
      </c>
      <c r="I20" s="11" t="str">
        <f aca="false">IF((C20-F20)/C20&gt;=-0.05,"On Track",IF((C20-F20)/C20&gt;=-0.1,"Watch","Over Budget"))</f>
        <v>On Track</v>
      </c>
    </row>
    <row r="21" customFormat="false" ht="15" hidden="false" customHeight="false" outlineLevel="0" collapsed="false">
      <c r="A21" s="7" t="s">
        <v>65</v>
      </c>
      <c r="B21" s="7" t="s">
        <v>66</v>
      </c>
      <c r="C21" s="8" t="n">
        <v>1568200</v>
      </c>
      <c r="D21" s="8" t="n">
        <v>455400</v>
      </c>
      <c r="E21" s="8" t="n">
        <v>1148000</v>
      </c>
      <c r="F21" s="9" t="n">
        <f aca="false">D21+E21</f>
        <v>1603400</v>
      </c>
      <c r="G21" s="10" t="n">
        <v>0.284</v>
      </c>
      <c r="H21" s="9" t="n">
        <f aca="false">C21-F21</f>
        <v>-35200</v>
      </c>
      <c r="I21" s="11" t="str">
        <f aca="false">IF((C21-F21)/C21&gt;=-0.05,"On Track",IF((C21-F21)/C21&gt;=-0.1,"Watch","Over Budget"))</f>
        <v>On Track</v>
      </c>
    </row>
    <row r="22" customFormat="false" ht="15" hidden="false" customHeight="false" outlineLevel="0" collapsed="false">
      <c r="A22" s="12" t="s">
        <v>67</v>
      </c>
      <c r="B22" s="12"/>
      <c r="C22" s="13" t="n">
        <f aca="false">SUM(C5:C21)</f>
        <v>41160000</v>
      </c>
      <c r="D22" s="13" t="n">
        <f aca="false">SUM(D5:D21)</f>
        <v>24517900</v>
      </c>
      <c r="E22" s="13" t="n">
        <f aca="false">SUM(E5:E21)</f>
        <v>18064200</v>
      </c>
      <c r="F22" s="13" t="n">
        <f aca="false">SUM(F5:F21)</f>
        <v>42582100</v>
      </c>
      <c r="G22" s="14"/>
      <c r="H22" s="13" t="n">
        <f aca="false">SUM(H5:H21)</f>
        <v>-1422100</v>
      </c>
      <c r="I22" s="15" t="n">
        <f aca="false">H22/C22</f>
        <v>-0.0345505344995141</v>
      </c>
    </row>
  </sheetData>
  <conditionalFormatting sqref="I5:I21">
    <cfRule type="expression" priority="2" aboveAverage="0" equalAverage="0" bottom="0" percent="0" rank="0" text="" dxfId="0">
      <formula>I5="Over Budget"</formula>
    </cfRule>
    <cfRule type="expression" priority="3" aboveAverage="0" equalAverage="0" bottom="0" percent="0" rank="0" text="" dxfId="1">
      <formula>I5="Watch"</formula>
    </cfRule>
    <cfRule type="expression" priority="4" aboveAverage="0" equalAverage="0" bottom="0" percent="0" rank="0" text="" dxfId="2">
      <formula>I5="On Track"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23.85" hidden="false" customHeight="false" outlineLevel="0" collapsed="false">
      <c r="A4" s="6" t="s">
        <v>70</v>
      </c>
      <c r="B4" s="6" t="s">
        <v>71</v>
      </c>
      <c r="C4" s="6" t="s">
        <v>72</v>
      </c>
      <c r="D4" s="6" t="s">
        <v>16</v>
      </c>
      <c r="E4" s="6" t="s">
        <v>73</v>
      </c>
      <c r="F4" s="6" t="s">
        <v>74</v>
      </c>
      <c r="G4" s="6" t="s">
        <v>75</v>
      </c>
      <c r="H4" s="6" t="s">
        <v>76</v>
      </c>
    </row>
    <row r="5" customFormat="false" ht="15" hidden="false" customHeight="false" outlineLevel="0" collapsed="false">
      <c r="A5" s="7" t="s">
        <v>77</v>
      </c>
      <c r="B5" s="7" t="s">
        <v>78</v>
      </c>
      <c r="C5" s="8" t="n">
        <v>18500</v>
      </c>
      <c r="D5" s="16" t="s">
        <v>79</v>
      </c>
      <c r="E5" s="7" t="s">
        <v>80</v>
      </c>
      <c r="F5" s="7" t="s">
        <v>81</v>
      </c>
      <c r="G5" s="11" t="s">
        <v>82</v>
      </c>
      <c r="H5" s="17" t="s">
        <v>83</v>
      </c>
    </row>
    <row r="6" customFormat="false" ht="15" hidden="false" customHeight="false" outlineLevel="0" collapsed="false">
      <c r="A6" s="7" t="s">
        <v>84</v>
      </c>
      <c r="B6" s="7" t="s">
        <v>85</v>
      </c>
      <c r="C6" s="8" t="n">
        <v>142000</v>
      </c>
      <c r="D6" s="16" t="s">
        <v>79</v>
      </c>
      <c r="E6" s="7" t="s">
        <v>86</v>
      </c>
      <c r="F6" s="7" t="s">
        <v>87</v>
      </c>
      <c r="G6" s="11" t="s">
        <v>82</v>
      </c>
      <c r="H6" s="17" t="s">
        <v>88</v>
      </c>
    </row>
    <row r="7" customFormat="false" ht="15" hidden="false" customHeight="false" outlineLevel="0" collapsed="false">
      <c r="A7" s="7" t="s">
        <v>89</v>
      </c>
      <c r="B7" s="7" t="s">
        <v>90</v>
      </c>
      <c r="C7" s="8" t="n">
        <v>9500</v>
      </c>
      <c r="D7" s="18" t="s">
        <v>91</v>
      </c>
      <c r="E7" s="7" t="s">
        <v>92</v>
      </c>
      <c r="F7" s="7" t="s">
        <v>93</v>
      </c>
      <c r="G7" s="11" t="s">
        <v>82</v>
      </c>
      <c r="H7" s="17" t="s">
        <v>94</v>
      </c>
    </row>
    <row r="8" customFormat="false" ht="15" hidden="false" customHeight="false" outlineLevel="0" collapsed="false">
      <c r="A8" s="7" t="s">
        <v>95</v>
      </c>
      <c r="B8" s="7" t="s">
        <v>85</v>
      </c>
      <c r="C8" s="8" t="n">
        <v>22000</v>
      </c>
      <c r="D8" s="19" t="s">
        <v>96</v>
      </c>
      <c r="E8" s="7" t="s">
        <v>97</v>
      </c>
      <c r="F8" s="7" t="s">
        <v>93</v>
      </c>
      <c r="G8" s="20" t="s">
        <v>98</v>
      </c>
      <c r="H8" s="17" t="s">
        <v>99</v>
      </c>
    </row>
    <row r="9" customFormat="false" ht="15" hidden="false" customHeight="false" outlineLevel="0" collapsed="false">
      <c r="A9" s="7" t="s">
        <v>100</v>
      </c>
      <c r="B9" s="7" t="s">
        <v>85</v>
      </c>
      <c r="C9" s="8" t="n">
        <v>19500</v>
      </c>
      <c r="D9" s="18" t="s">
        <v>101</v>
      </c>
      <c r="E9" s="7" t="s">
        <v>102</v>
      </c>
      <c r="F9" s="7" t="s">
        <v>93</v>
      </c>
      <c r="G9" s="20" t="s">
        <v>98</v>
      </c>
      <c r="H9" s="17" t="s">
        <v>103</v>
      </c>
    </row>
    <row r="10" customFormat="false" ht="15" hidden="false" customHeight="false" outlineLevel="0" collapsed="false">
      <c r="A10" s="7" t="s">
        <v>104</v>
      </c>
      <c r="B10" s="7" t="s">
        <v>105</v>
      </c>
      <c r="C10" s="8" t="n">
        <v>31000</v>
      </c>
      <c r="D10" s="18" t="s">
        <v>101</v>
      </c>
      <c r="E10" s="7" t="s">
        <v>106</v>
      </c>
      <c r="F10" s="7" t="s">
        <v>93</v>
      </c>
      <c r="G10" s="11" t="s">
        <v>82</v>
      </c>
      <c r="H10" s="17" t="s">
        <v>107</v>
      </c>
    </row>
    <row r="11" customFormat="false" ht="15" hidden="false" customHeight="false" outlineLevel="0" collapsed="false">
      <c r="A11" s="7" t="s">
        <v>108</v>
      </c>
      <c r="B11" s="7" t="s">
        <v>78</v>
      </c>
      <c r="C11" s="8" t="n">
        <v>4200</v>
      </c>
      <c r="D11" s="19" t="s">
        <v>109</v>
      </c>
      <c r="E11" s="7" t="s">
        <v>110</v>
      </c>
      <c r="F11" s="7" t="s">
        <v>93</v>
      </c>
      <c r="G11" s="20" t="s">
        <v>98</v>
      </c>
      <c r="H11" s="17" t="s">
        <v>111</v>
      </c>
    </row>
    <row r="12" customFormat="false" ht="15" hidden="false" customHeight="false" outlineLevel="0" collapsed="false">
      <c r="A12" s="7" t="s">
        <v>112</v>
      </c>
      <c r="B12" s="7" t="s">
        <v>85</v>
      </c>
      <c r="C12" s="8" t="n">
        <v>6500</v>
      </c>
      <c r="D12" s="19" t="s">
        <v>109</v>
      </c>
      <c r="E12" s="7" t="s">
        <v>113</v>
      </c>
      <c r="F12" s="7" t="s">
        <v>93</v>
      </c>
      <c r="G12" s="11" t="s">
        <v>82</v>
      </c>
      <c r="H12" s="17" t="s">
        <v>114</v>
      </c>
    </row>
    <row r="13" customFormat="false" ht="15" hidden="false" customHeight="false" outlineLevel="0" collapsed="false">
      <c r="A13" s="7" t="s">
        <v>115</v>
      </c>
      <c r="B13" s="7" t="s">
        <v>116</v>
      </c>
      <c r="C13" s="8" t="n">
        <v>8200</v>
      </c>
      <c r="D13" s="19" t="s">
        <v>109</v>
      </c>
      <c r="E13" s="7" t="s">
        <v>117</v>
      </c>
      <c r="F13" s="7" t="s">
        <v>93</v>
      </c>
      <c r="G13" s="20" t="s">
        <v>98</v>
      </c>
      <c r="H13" s="17" t="s">
        <v>118</v>
      </c>
    </row>
    <row r="15" customFormat="false" ht="15" hidden="false" customHeight="false" outlineLevel="0" collapsed="false">
      <c r="A15" s="3" t="s">
        <v>119</v>
      </c>
    </row>
    <row r="16" customFormat="false" ht="15" hidden="false" customHeight="false" outlineLevel="0" collapsed="false">
      <c r="A16" s="21" t="s">
        <v>120</v>
      </c>
    </row>
    <row r="17" customFormat="false" ht="15" hidden="false" customHeight="false" outlineLevel="0" collapsed="false">
      <c r="A17" s="21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3"/>
  </cols>
  <sheetData>
    <row r="1" customFormat="false" ht="19.7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23.85" hidden="false" customHeight="false" outlineLevel="0" collapsed="false">
      <c r="A4" s="6" t="s">
        <v>124</v>
      </c>
      <c r="B4" s="6" t="s">
        <v>2</v>
      </c>
      <c r="C4" s="6" t="s">
        <v>16</v>
      </c>
      <c r="D4" s="6" t="s">
        <v>125</v>
      </c>
      <c r="E4" s="6" t="s">
        <v>126</v>
      </c>
      <c r="F4" s="6" t="s">
        <v>127</v>
      </c>
      <c r="G4" s="6" t="s">
        <v>128</v>
      </c>
      <c r="H4" s="6" t="s">
        <v>129</v>
      </c>
    </row>
    <row r="5" customFormat="false" ht="15" hidden="false" customHeight="false" outlineLevel="0" collapsed="false">
      <c r="A5" s="22" t="s">
        <v>130</v>
      </c>
      <c r="B5" s="7" t="s">
        <v>131</v>
      </c>
      <c r="C5" s="16" t="s">
        <v>132</v>
      </c>
      <c r="D5" s="8" t="n">
        <v>287500</v>
      </c>
      <c r="E5" s="7" t="s">
        <v>133</v>
      </c>
      <c r="F5" s="7" t="s">
        <v>134</v>
      </c>
      <c r="G5" s="7" t="s">
        <v>135</v>
      </c>
      <c r="H5" s="7" t="s">
        <v>136</v>
      </c>
    </row>
    <row r="6" customFormat="false" ht="15" hidden="false" customHeight="false" outlineLevel="0" collapsed="false">
      <c r="A6" s="22" t="s">
        <v>137</v>
      </c>
      <c r="B6" s="7" t="s">
        <v>138</v>
      </c>
      <c r="C6" s="18" t="s">
        <v>139</v>
      </c>
      <c r="D6" s="8" t="n">
        <v>64200</v>
      </c>
      <c r="E6" s="7" t="s">
        <v>140</v>
      </c>
      <c r="F6" s="7" t="s">
        <v>141</v>
      </c>
      <c r="G6" s="7" t="s">
        <v>142</v>
      </c>
      <c r="H6" s="7" t="s">
        <v>92</v>
      </c>
    </row>
    <row r="7" customFormat="false" ht="15" hidden="false" customHeight="false" outlineLevel="0" collapsed="false">
      <c r="A7" s="22" t="s">
        <v>143</v>
      </c>
      <c r="B7" s="7" t="s">
        <v>144</v>
      </c>
      <c r="C7" s="18" t="s">
        <v>101</v>
      </c>
      <c r="D7" s="8" t="n">
        <v>118900</v>
      </c>
      <c r="E7" s="7" t="s">
        <v>145</v>
      </c>
      <c r="F7" s="7" t="s">
        <v>146</v>
      </c>
      <c r="G7" s="7" t="s">
        <v>142</v>
      </c>
      <c r="H7" s="7" t="s">
        <v>147</v>
      </c>
    </row>
    <row r="8" customFormat="false" ht="15" hidden="false" customHeight="false" outlineLevel="0" collapsed="false">
      <c r="A8" s="22" t="s">
        <v>148</v>
      </c>
      <c r="B8" s="7" t="s">
        <v>149</v>
      </c>
      <c r="C8" s="23" t="s">
        <v>150</v>
      </c>
      <c r="D8" s="8" t="n">
        <v>41000</v>
      </c>
      <c r="E8" s="7" t="s">
        <v>133</v>
      </c>
      <c r="F8" s="7" t="s">
        <v>93</v>
      </c>
      <c r="G8" s="7" t="s">
        <v>151</v>
      </c>
      <c r="H8" s="7" t="s">
        <v>152</v>
      </c>
    </row>
    <row r="10" customFormat="false" ht="15" hidden="false" customHeight="false" outlineLevel="0" collapsed="false">
      <c r="A10" s="3" t="s">
        <v>153</v>
      </c>
      <c r="D10" s="24" t="n">
        <v>183100</v>
      </c>
    </row>
    <row r="11" customFormat="false" ht="15" hidden="false" customHeight="false" outlineLevel="0" collapsed="false">
      <c r="A11" s="3" t="s">
        <v>154</v>
      </c>
      <c r="D11" s="24" t="n">
        <v>287500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155</v>
      </c>
    </row>
    <row r="2" customFormat="false" ht="15" hidden="false" customHeight="false" outlineLevel="0" collapsed="false">
      <c r="A2" s="2" t="s">
        <v>156</v>
      </c>
    </row>
    <row r="4" customFormat="false" ht="15" hidden="false" customHeight="false" outlineLevel="0" collapsed="false">
      <c r="A4" s="6" t="s">
        <v>157</v>
      </c>
      <c r="B4" s="6" t="s">
        <v>25</v>
      </c>
      <c r="C4" s="6" t="s">
        <v>158</v>
      </c>
      <c r="D4" s="6" t="s">
        <v>159</v>
      </c>
      <c r="E4" s="6" t="s">
        <v>160</v>
      </c>
      <c r="F4" s="6" t="s">
        <v>161</v>
      </c>
      <c r="G4" s="6" t="s">
        <v>162</v>
      </c>
    </row>
    <row r="5" customFormat="false" ht="15" hidden="false" customHeight="false" outlineLevel="0" collapsed="false">
      <c r="A5" s="7" t="s">
        <v>163</v>
      </c>
      <c r="B5" s="7" t="s">
        <v>61</v>
      </c>
      <c r="C5" s="7" t="s">
        <v>164</v>
      </c>
      <c r="D5" s="7" t="s">
        <v>165</v>
      </c>
      <c r="E5" s="7" t="s">
        <v>93</v>
      </c>
      <c r="F5" s="7" t="s">
        <v>93</v>
      </c>
      <c r="G5" s="25" t="n">
        <v>42</v>
      </c>
    </row>
    <row r="6" customFormat="false" ht="15" hidden="false" customHeight="false" outlineLevel="0" collapsed="false">
      <c r="A6" s="7" t="s">
        <v>166</v>
      </c>
      <c r="B6" s="7" t="s">
        <v>59</v>
      </c>
      <c r="C6" s="7" t="s">
        <v>167</v>
      </c>
      <c r="D6" s="7" t="s">
        <v>168</v>
      </c>
      <c r="E6" s="7" t="s">
        <v>93</v>
      </c>
      <c r="F6" s="7" t="s">
        <v>93</v>
      </c>
      <c r="G6" s="25" t="n">
        <v>31</v>
      </c>
    </row>
    <row r="7" customFormat="false" ht="15" hidden="false" customHeight="false" outlineLevel="0" collapsed="false">
      <c r="A7" s="7" t="s">
        <v>169</v>
      </c>
      <c r="B7" s="7" t="s">
        <v>47</v>
      </c>
      <c r="C7" s="7" t="s">
        <v>170</v>
      </c>
      <c r="D7" s="7" t="s">
        <v>171</v>
      </c>
      <c r="E7" s="7" t="s">
        <v>172</v>
      </c>
      <c r="F7" s="7" t="s">
        <v>93</v>
      </c>
      <c r="G7" s="26" t="n">
        <v>23</v>
      </c>
    </row>
    <row r="8" customFormat="false" ht="15" hidden="false" customHeight="false" outlineLevel="0" collapsed="false">
      <c r="A8" s="7" t="s">
        <v>173</v>
      </c>
      <c r="B8" s="7" t="s">
        <v>53</v>
      </c>
      <c r="C8" s="7" t="s">
        <v>174</v>
      </c>
      <c r="D8" s="7" t="s">
        <v>175</v>
      </c>
      <c r="E8" s="7" t="s">
        <v>93</v>
      </c>
      <c r="F8" s="7" t="s">
        <v>93</v>
      </c>
      <c r="G8" s="26" t="n">
        <v>18</v>
      </c>
    </row>
    <row r="9" customFormat="false" ht="15" hidden="false" customHeight="false" outlineLevel="0" collapsed="false">
      <c r="A9" s="7" t="s">
        <v>176</v>
      </c>
      <c r="B9" s="7" t="s">
        <v>49</v>
      </c>
      <c r="C9" s="7" t="s">
        <v>165</v>
      </c>
      <c r="D9" s="7" t="s">
        <v>174</v>
      </c>
      <c r="E9" s="7" t="s">
        <v>177</v>
      </c>
      <c r="F9" s="7" t="s">
        <v>93</v>
      </c>
      <c r="G9" s="26" t="n">
        <v>12</v>
      </c>
    </row>
    <row r="10" customFormat="false" ht="15" hidden="false" customHeight="false" outlineLevel="0" collapsed="false">
      <c r="A10" s="7" t="s">
        <v>178</v>
      </c>
      <c r="B10" s="7" t="s">
        <v>37</v>
      </c>
      <c r="C10" s="7" t="s">
        <v>179</v>
      </c>
      <c r="D10" s="7" t="s">
        <v>180</v>
      </c>
      <c r="E10" s="7" t="s">
        <v>179</v>
      </c>
      <c r="F10" s="7" t="s">
        <v>180</v>
      </c>
      <c r="G10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4" customFormat="false" ht="15" hidden="false" customHeight="false" outlineLevel="0" collapsed="false">
      <c r="A4" s="6" t="s">
        <v>183</v>
      </c>
      <c r="B4" s="6" t="s">
        <v>184</v>
      </c>
      <c r="C4" s="6" t="s">
        <v>16</v>
      </c>
      <c r="D4" s="6" t="s">
        <v>185</v>
      </c>
    </row>
    <row r="5" customFormat="false" ht="15" hidden="false" customHeight="false" outlineLevel="0" collapsed="false">
      <c r="A5" s="7" t="s">
        <v>186</v>
      </c>
      <c r="B5" s="7" t="s">
        <v>187</v>
      </c>
      <c r="C5" s="16" t="s">
        <v>79</v>
      </c>
      <c r="D5" s="7" t="s">
        <v>188</v>
      </c>
    </row>
    <row r="6" customFormat="false" ht="15" hidden="false" customHeight="false" outlineLevel="0" collapsed="false">
      <c r="A6" s="7" t="s">
        <v>186</v>
      </c>
      <c r="B6" s="7" t="s">
        <v>189</v>
      </c>
      <c r="C6" s="16" t="s">
        <v>79</v>
      </c>
      <c r="D6" s="7" t="s">
        <v>190</v>
      </c>
    </row>
    <row r="7" customFormat="false" ht="15" hidden="false" customHeight="false" outlineLevel="0" collapsed="false">
      <c r="A7" s="7" t="s">
        <v>191</v>
      </c>
      <c r="B7" s="7" t="s">
        <v>187</v>
      </c>
      <c r="C7" s="19" t="s">
        <v>192</v>
      </c>
      <c r="D7" s="7" t="s">
        <v>97</v>
      </c>
    </row>
    <row r="8" customFormat="false" ht="15" hidden="false" customHeight="false" outlineLevel="0" collapsed="false">
      <c r="A8" s="7" t="s">
        <v>191</v>
      </c>
      <c r="B8" s="7" t="s">
        <v>193</v>
      </c>
      <c r="C8" s="18" t="s">
        <v>194</v>
      </c>
      <c r="D8" s="7" t="s">
        <v>93</v>
      </c>
    </row>
    <row r="9" customFormat="false" ht="15" hidden="false" customHeight="false" outlineLevel="0" collapsed="false">
      <c r="A9" s="7" t="s">
        <v>195</v>
      </c>
      <c r="B9" s="7" t="s">
        <v>196</v>
      </c>
      <c r="C9" s="18" t="s">
        <v>194</v>
      </c>
      <c r="D9" s="7" t="s">
        <v>93</v>
      </c>
    </row>
    <row r="10" customFormat="false" ht="15" hidden="false" customHeight="false" outlineLevel="0" collapsed="false">
      <c r="A10" s="7" t="s">
        <v>195</v>
      </c>
      <c r="B10" s="7" t="s">
        <v>189</v>
      </c>
      <c r="C10" s="16" t="s">
        <v>79</v>
      </c>
      <c r="D10" s="7" t="s">
        <v>197</v>
      </c>
    </row>
    <row r="11" customFormat="false" ht="15" hidden="false" customHeight="false" outlineLevel="0" collapsed="false">
      <c r="A11" s="7" t="s">
        <v>198</v>
      </c>
      <c r="B11" s="7" t="s">
        <v>187</v>
      </c>
      <c r="C11" s="16" t="s">
        <v>79</v>
      </c>
      <c r="D11" s="7" t="s">
        <v>146</v>
      </c>
    </row>
    <row r="12" customFormat="false" ht="15" hidden="false" customHeight="false" outlineLevel="0" collapsed="false">
      <c r="A12" s="7" t="s">
        <v>198</v>
      </c>
      <c r="B12" s="7" t="s">
        <v>193</v>
      </c>
      <c r="C12" s="18" t="s">
        <v>194</v>
      </c>
      <c r="D12" s="7" t="s">
        <v>93</v>
      </c>
    </row>
    <row r="13" customFormat="false" ht="15" hidden="false" customHeight="false" outlineLevel="0" collapsed="false">
      <c r="A13" s="7" t="s">
        <v>199</v>
      </c>
      <c r="B13" s="7" t="s">
        <v>187</v>
      </c>
      <c r="C13" s="16" t="s">
        <v>79</v>
      </c>
      <c r="D13" s="7" t="s">
        <v>200</v>
      </c>
    </row>
    <row r="14" customFormat="false" ht="15" hidden="false" customHeight="false" outlineLevel="0" collapsed="false">
      <c r="A14" s="7" t="s">
        <v>199</v>
      </c>
      <c r="B14" s="7" t="s">
        <v>189</v>
      </c>
      <c r="C14" s="18" t="s">
        <v>194</v>
      </c>
      <c r="D14" s="7" t="s">
        <v>93</v>
      </c>
    </row>
    <row r="15" customFormat="false" ht="15" hidden="false" customHeight="false" outlineLevel="0" collapsed="false">
      <c r="A15" s="7" t="s">
        <v>199</v>
      </c>
      <c r="B15" s="7" t="s">
        <v>193</v>
      </c>
      <c r="C15" s="18" t="s">
        <v>194</v>
      </c>
      <c r="D15" s="7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38"/>
  </cols>
  <sheetData>
    <row r="1" customFormat="false" ht="19.7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15" hidden="false" customHeight="false" outlineLevel="0" collapsed="false">
      <c r="A4" s="27" t="s">
        <v>203</v>
      </c>
      <c r="B4" s="27"/>
      <c r="C4" s="27"/>
    </row>
    <row r="5" customFormat="false" ht="15" hidden="false" customHeight="false" outlineLevel="0" collapsed="false">
      <c r="A5" s="7" t="s">
        <v>204</v>
      </c>
      <c r="B5" s="7" t="s">
        <v>205</v>
      </c>
      <c r="C5" s="28"/>
    </row>
    <row r="6" customFormat="false" ht="15" hidden="false" customHeight="false" outlineLevel="0" collapsed="false">
      <c r="A6" s="7" t="s">
        <v>206</v>
      </c>
      <c r="B6" s="8" t="n">
        <v>28400000</v>
      </c>
      <c r="C6" s="17" t="s">
        <v>207</v>
      </c>
    </row>
    <row r="7" customFormat="false" ht="15" hidden="false" customHeight="false" outlineLevel="0" collapsed="false">
      <c r="A7" s="7" t="s">
        <v>208</v>
      </c>
      <c r="B7" s="8" t="n">
        <v>-22180000</v>
      </c>
      <c r="C7" s="28"/>
    </row>
    <row r="8" customFormat="false" ht="15" hidden="false" customHeight="false" outlineLevel="0" collapsed="false">
      <c r="A8" s="7" t="s">
        <v>209</v>
      </c>
      <c r="B8" s="8" t="n">
        <v>-1640000</v>
      </c>
      <c r="C8" s="28"/>
    </row>
    <row r="9" customFormat="false" ht="15" hidden="false" customHeight="false" outlineLevel="0" collapsed="false">
      <c r="A9" s="12" t="s">
        <v>210</v>
      </c>
      <c r="B9" s="13" t="n">
        <f aca="false">B6+B7+B8</f>
        <v>4580000</v>
      </c>
      <c r="C9" s="14"/>
    </row>
    <row r="11" customFormat="false" ht="15" hidden="false" customHeight="false" outlineLevel="0" collapsed="false">
      <c r="A11" s="7" t="s">
        <v>211</v>
      </c>
      <c r="B11" s="8" t="n">
        <v>1109000</v>
      </c>
      <c r="C11" s="28"/>
    </row>
    <row r="12" customFormat="false" ht="15" hidden="false" customHeight="false" outlineLevel="0" collapsed="false">
      <c r="A12" s="7" t="s">
        <v>212</v>
      </c>
      <c r="B12" s="8" t="n">
        <v>1420000</v>
      </c>
      <c r="C12" s="28"/>
    </row>
    <row r="15" customFormat="false" ht="15" hidden="false" customHeight="false" outlineLevel="0" collapsed="false">
      <c r="A15" s="27" t="s">
        <v>213</v>
      </c>
      <c r="B15" s="27"/>
      <c r="C15" s="27"/>
    </row>
    <row r="16" customFormat="false" ht="15" hidden="false" customHeight="false" outlineLevel="0" collapsed="false">
      <c r="A16" s="7" t="s">
        <v>214</v>
      </c>
      <c r="B16" s="8" t="n">
        <v>62732000</v>
      </c>
      <c r="C16" s="28"/>
    </row>
    <row r="17" customFormat="false" ht="15" hidden="false" customHeight="false" outlineLevel="0" collapsed="false">
      <c r="A17" s="7" t="s">
        <v>215</v>
      </c>
      <c r="B17" s="8" t="n">
        <v>25093000</v>
      </c>
      <c r="C17" s="28"/>
    </row>
    <row r="18" customFormat="false" ht="15" hidden="false" customHeight="false" outlineLevel="0" collapsed="false">
      <c r="A18" s="7" t="s">
        <v>216</v>
      </c>
      <c r="B18" s="8" t="n">
        <v>37639000</v>
      </c>
      <c r="C18" s="28"/>
    </row>
    <row r="19" customFormat="false" ht="15" hidden="false" customHeight="false" outlineLevel="0" collapsed="false">
      <c r="A19" s="7" t="s">
        <v>217</v>
      </c>
      <c r="B19" s="10" t="n">
        <v>0.0825</v>
      </c>
      <c r="C19" s="28"/>
    </row>
    <row r="20" customFormat="false" ht="15" hidden="false" customHeight="false" outlineLevel="0" collapsed="false">
      <c r="A20" s="7" t="s">
        <v>218</v>
      </c>
      <c r="B20" s="29" t="n">
        <v>20</v>
      </c>
      <c r="C20" s="28"/>
    </row>
    <row r="21" customFormat="false" ht="15" hidden="false" customHeight="false" outlineLevel="0" collapsed="false">
      <c r="A21" s="7" t="s">
        <v>219</v>
      </c>
      <c r="B21" s="8" t="n">
        <v>2846000</v>
      </c>
      <c r="C21" s="28"/>
    </row>
    <row r="22" customFormat="false" ht="15" hidden="false" customHeight="false" outlineLevel="0" collapsed="false">
      <c r="A22" s="7" t="s">
        <v>220</v>
      </c>
      <c r="B22" s="8" t="n">
        <v>4950000</v>
      </c>
      <c r="C22" s="28"/>
    </row>
    <row r="23" customFormat="false" ht="15" hidden="false" customHeight="false" outlineLevel="0" collapsed="false">
      <c r="A23" s="7" t="s">
        <v>221</v>
      </c>
      <c r="B23" s="10" t="n">
        <v>0.0675</v>
      </c>
      <c r="C23" s="28"/>
    </row>
    <row r="24" customFormat="false" ht="15" hidden="false" customHeight="false" outlineLevel="0" collapsed="false">
      <c r="A24" s="7" t="s">
        <v>222</v>
      </c>
      <c r="B24" s="30" t="n">
        <f aca="false">B22/B23</f>
        <v>73333333.3333333</v>
      </c>
      <c r="C24" s="28"/>
    </row>
    <row r="25" customFormat="false" ht="15" hidden="false" customHeight="false" outlineLevel="0" collapsed="false">
      <c r="A25" s="7" t="s">
        <v>223</v>
      </c>
      <c r="B25" s="30" t="n">
        <f aca="false">B24*0.025</f>
        <v>1833333.33333333</v>
      </c>
      <c r="C25" s="28"/>
    </row>
    <row r="26" customFormat="false" ht="15" hidden="false" customHeight="false" outlineLevel="0" collapsed="false">
      <c r="A26" s="12" t="s">
        <v>224</v>
      </c>
      <c r="B26" s="13" t="n">
        <f aca="false">B24-B25-B18</f>
        <v>33861000</v>
      </c>
      <c r="C26" s="14"/>
    </row>
    <row r="27" customFormat="false" ht="15" hidden="false" customHeight="false" outlineLevel="0" collapsed="false">
      <c r="A27" s="12" t="s">
        <v>225</v>
      </c>
      <c r="B27" s="13" t="n">
        <f aca="false">B26-B17-B21</f>
        <v>5922000</v>
      </c>
      <c r="C27" s="14"/>
    </row>
    <row r="29" customFormat="false" ht="15" hidden="false" customHeight="false" outlineLevel="0" collapsed="false">
      <c r="A29" s="22" t="s">
        <v>226</v>
      </c>
      <c r="B29" s="31" t="n">
        <f aca="false">B27/B17</f>
        <v>0.236002072291077</v>
      </c>
      <c r="C29" s="28"/>
    </row>
    <row r="30" customFormat="false" ht="15" hidden="false" customHeight="false" outlineLevel="0" collapsed="false">
      <c r="A30" s="22" t="s">
        <v>227</v>
      </c>
      <c r="B30" s="32" t="n">
        <f aca="false">B26/B17</f>
        <v>1.3494201570159</v>
      </c>
      <c r="C30" s="28"/>
    </row>
  </sheetData>
  <mergeCells count="2">
    <mergeCell ref="A4:C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2026-06-20T12:45:30Z</dcterms:created>
  <dc:creator>openpyxl</dc:creator>
  <dc:description/>
  <dc:language>en-US</dc:language>
  <cp:lastModifiedBy/>
  <dcterms:modified xsi:type="dcterms:W3CDTF">2026-06-20T12:47:27Z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